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b5ce02f2d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3f1ebad6d285417e"/>
    <x:sheet xmlns:r="http://schemas.openxmlformats.org/officeDocument/2006/relationships" name="Human inputs" sheetId="2" r:id="R4ba1de13b64d4d39"/>
    <x:sheet xmlns:r="http://schemas.openxmlformats.org/officeDocument/2006/relationships" name="Corridors" sheetId="3" r:id="Rb9f610e288fb4ad2"/>
    <x:sheet xmlns:r="http://schemas.openxmlformats.org/officeDocument/2006/relationships" name="Locations" sheetId="4" r:id="R6a26887374754a58"/>
    <x:sheet xmlns:r="http://schemas.openxmlformats.org/officeDocument/2006/relationships" name="Matrices" sheetId="5" r:id="R496da86e5291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0"/>
    <x:numFmt numFmtId="202" formatCode="0.0%"/>
    <x:numFmt numFmtId="203" formatCode="0.000000"/>
  </x:numFmts>
  <x:fonts count="7">
    <x:font>
      <x:sz val="11"/>
      <x:name val="Carlito"/>
    </x:font>
    <x:font>
      <x:b/>
      <x:sz val="15"/>
      <x:color rgb="FF142B33"/>
      <x:name val="Arial"/>
    </x:font>
    <x:font>
      <x:sz val="10"/>
      <x:color rgb="FF142B33"/>
      <x:name val="Arial"/>
    </x:font>
    <x:font>
      <x:b/>
      <x:sz val="10"/>
      <x:color rgb="FFFFFFFF"/>
      <x:name val="Arial"/>
    </x:font>
    <x:font>
      <x:sz val="10"/>
      <x:color rgb="FFB85E2F"/>
      <x:name val="Arial"/>
    </x:font>
    <x:font>
      <x:b/>
      <x:sz val="10"/>
      <x:name val="Arial"/>
    </x:font>
    <x:font>
      <x:sz val="10"/>
      <x:color rgb="FF53636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B33"/>
      </x:patternFill>
    </x:fill>
    <x:fill>
      <x:patternFill patternType="solid">
        <x:fgColor rgb="FFE5EEEA"/>
      </x:patternFill>
    </x:fill>
    <x:fill>
      <x:patternFill patternType="solid">
        <x:fgColor rgb="FFFFF1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b9d35fd754f30" /><Relationship Type="http://schemas.openxmlformats.org/officeDocument/2006/relationships/theme" Target="/xl/theme/theme1.xml" Id="Ra90bdb49a91d4632" /><Relationship Type="http://schemas.openxmlformats.org/officeDocument/2006/relationships/sharedStrings" Target="/xl/sharedStrings.xml" Id="Rf4a876fc2e994580" /><Relationship Type="http://schemas.openxmlformats.org/officeDocument/2006/relationships/worksheet" Target="/xl/worksheets/sheet1.xml" Id="R3f1ebad6d285417e" /><Relationship Type="http://schemas.openxmlformats.org/officeDocument/2006/relationships/worksheet" Target="/xl/worksheets/sheet2.xml" Id="R4ba1de13b64d4d39" /><Relationship Type="http://schemas.openxmlformats.org/officeDocument/2006/relationships/worksheet" Target="/xl/worksheets/sheet3.xml" Id="Rb9f610e288fb4ad2" /><Relationship Type="http://schemas.openxmlformats.org/officeDocument/2006/relationships/worksheet" Target="/xl/worksheets/sheet4.xml" Id="R6a26887374754a58" /><Relationship Type="http://schemas.openxmlformats.org/officeDocument/2006/relationships/worksheet" Target="/xl/worksheets/sheet5.xml" Id="R496da86e52914b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142857074737549" hidden="0" customWidth="1"/>
    <x:col min="2" max="2" width="20.714284896850586" hidden="0" customWidth="1"/>
    <x:col min="3" max="3" width="20.714284896850586" hidden="0" customWidth="1"/>
    <x:col min="4" max="4" width="17.85714340209961" hidden="0" customWidth="1"/>
    <x:col min="5" max="5" width="17.85714340209961" hidden="0" customWidth="1"/>
    <x:col min="6" max="6" width="17.85714340209961" hidden="0" customWidth="1"/>
    <x:col min="7" max="7" width="17.85714340209961" hidden="0" customWidth="1"/>
    <x:col min="8" max="8" width="17.85714340209961" hidden="0" customWidth="1"/>
    <x:col min="9" max="9" width="17.85714340209961" hidden="0" customWidth="1"/>
  </x:cols>
  <x:sheetData>
    <x:row r="2">
      <x:c r="A2" s="1" t="str">
        <x:v>Routes from JAIN University - Manipal added 20 October 2026</x:v>
      </x:c>
    </x:row>
    <x:row r="3">
      <x:c r="A3" s="15" t="str">
        <x:v>Graph minima use separate objectives. Google B has a flyover endpoint ambiguity; exclude it from ordinary comparison.</x:v>
      </x:c>
    </x:row>
    <x:row r="5" ht="34" customHeight="1">
      <x:c r="A5" s="5" t="str">
        <x:v>ID</x:v>
      </x:c>
      <x:c r="B5" s="5" t="str">
        <x:v>Graph distance m</x:v>
      </x:c>
      <x:c r="C5" s="5" t="str">
        <x:v>Graph duration s</x:v>
      </x:c>
      <x:c r="D5" s="5" t="str">
        <x:v>OSRM distance m</x:v>
      </x:c>
      <x:c r="E5" s="5" t="str">
        <x:v>OSRM duration s</x:v>
      </x:c>
      <x:c r="F5" s="5" t="str">
        <x:v>Google distance m</x:v>
      </x:c>
      <x:c r="G5" s="5" t="str">
        <x:v>Google ETA min</x:v>
      </x:c>
      <x:c r="H5" s="5" t="str">
        <x:v>Code distance ms</x:v>
      </x:c>
      <x:c r="I5" s="5" t="str">
        <x:v>Code time ms</x:v>
      </x:c>
    </x:row>
    <x:row r="6" ht="26" customHeight="1">
      <x:c r="A6" s="2" t="str">
        <x:v>B</x:v>
      </x:c>
      <x:c r="B6" s="7" t="n">
        <x:v>618.5</x:v>
      </x:c>
      <x:c r="C6" s="7" t="n">
        <x:v>58.7</x:v>
      </x:c>
      <x:c r="D6" s="7" t="n">
        <x:v>618.5</x:v>
      </x:c>
      <x:c r="E6" s="7" t="n">
        <x:v>58.7</x:v>
      </x:c>
      <x:c r="F6" s="7" t="n">
        <x:v>11300</x:v>
      </x:c>
      <x:c r="G6" s="7" t="n">
        <x:v>22</x:v>
      </x:c>
      <x:c r="H6" s="8" t="n">
        <x:v>0.003338</x:v>
      </x:c>
      <x:c r="I6" s="8" t="n">
        <x:v>0.003256</x:v>
      </x:c>
    </x:row>
    <x:row r="7" ht="26" customHeight="1">
      <x:c r="A7" s="2" t="str">
        <x:v>C</x:v>
      </x:c>
      <x:c r="B7" s="7" t="n">
        <x:v>1497</x:v>
      </x:c>
      <x:c r="C7" s="7" t="n">
        <x:v>130.9</x:v>
      </x:c>
      <x:c r="D7" s="7" t="n">
        <x:v>1084.2</x:v>
      </x:c>
      <x:c r="E7" s="7" t="n">
        <x:v>96.4</x:v>
      </x:c>
      <x:c r="F7" s="7" t="n">
        <x:v>1100</x:v>
      </x:c>
      <x:c r="G7" s="7" t="n">
        <x:v>5</x:v>
      </x:c>
      <x:c r="H7" s="8" t="n">
        <x:v>0.007828</x:v>
      </x:c>
      <x:c r="I7" s="8" t="n">
        <x:v>0.006654</x:v>
      </x:c>
    </x:row>
    <x:row r="8" ht="26" customHeight="1">
      <x:c r="A8" s="2" t="str">
        <x:v>D</x:v>
      </x:c>
      <x:c r="B8" s="7" t="n">
        <x:v>2695</x:v>
      </x:c>
      <x:c r="C8" s="7" t="n">
        <x:v>216.7</x:v>
      </x:c>
      <x:c r="D8" s="7" t="n">
        <x:v>2282.3</x:v>
      </x:c>
      <x:c r="E8" s="7" t="n">
        <x:v>182.2</x:v>
      </x:c>
      <x:c r="F8" s="7" t="n">
        <x:v>2100</x:v>
      </x:c>
      <x:c r="G8" s="7" t="n">
        <x:v>7</x:v>
      </x:c>
      <x:c r="H8" s="8" t="n">
        <x:v>0.012315</x:v>
      </x:c>
      <x:c r="I8" s="8" t="n">
        <x:v>0.015875</x:v>
      </x:c>
    </x:row>
    <x:row r="9" ht="26" customHeight="1">
      <x:c r="A9" s="2" t="str">
        <x:v>E</x:v>
      </x:c>
      <x:c r="B9" s="7" t="n">
        <x:v>3185.5</x:v>
      </x:c>
      <x:c r="C9" s="7" t="n">
        <x:v>281</x:v>
      </x:c>
      <x:c r="D9" s="7" t="n">
        <x:v>2523.3</x:v>
      </x:c>
      <x:c r="E9" s="7" t="n">
        <x:v>198.1</x:v>
      </x:c>
      <x:c r="F9" s="7" t="n">
        <x:v>2500</x:v>
      </x:c>
      <x:c r="G9" s="7" t="n">
        <x:v>8</x:v>
      </x:c>
      <x:c r="H9" s="8" t="n">
        <x:v>0.017509</x:v>
      </x:c>
      <x:c r="I9" s="8" t="n">
        <x:v>0.013897</x:v>
      </x:c>
    </x:row>
    <x:row r="10" ht="26" customHeight="1">
      <x:c r="A10" s="2" t="str">
        <x:v>F</x:v>
      </x:c>
      <x:c r="B10" s="7" t="n">
        <x:v>2871.2</x:v>
      </x:c>
      <x:c r="C10" s="7" t="n">
        <x:v>243.1</x:v>
      </x:c>
      <x:c r="D10" s="7" t="n">
        <x:v>2824.1</x:v>
      </x:c>
      <x:c r="E10" s="7" t="n">
        <x:v>200.8</x:v>
      </x:c>
      <x:c r="F10" s="7" t="n">
        <x:v>2900</x:v>
      </x:c>
      <x:c r="G10" s="7" t="n">
        <x:v>8</x:v>
      </x:c>
      <x:c r="H10" s="8" t="n">
        <x:v>0.012372</x:v>
      </x:c>
      <x:c r="I10" s="8" t="n">
        <x:v>0.011114</x:v>
      </x:c>
    </x:row>
    <x:row r="11" ht="26" customHeight="1">
      <x:c r="A11" s="2" t="str">
        <x:v>G</x:v>
      </x:c>
      <x:c r="B11" s="7" t="n">
        <x:v>2053.7</x:v>
      </x:c>
      <x:c r="C11" s="7" t="n">
        <x:v>171.2</x:v>
      </x:c>
      <x:c r="D11" s="7" t="n">
        <x:v>2053.7</x:v>
      </x:c>
      <x:c r="E11" s="7" t="n">
        <x:v>171.2</x:v>
      </x:c>
      <x:c r="F11" s="7" t="n">
        <x:v>2100</x:v>
      </x:c>
      <x:c r="G11" s="7" t="n">
        <x:v>7</x:v>
      </x:c>
      <x:c r="H11" s="8" t="n">
        <x:v>0.01055</x:v>
      </x:c>
      <x:c r="I11" s="8" t="n">
        <x:v>0.009943</x:v>
      </x:c>
    </x:row>
    <x:row r="12" ht="26" customHeight="1">
      <x:c r="A12" s="2" t="str">
        <x:v>H</x:v>
      </x:c>
      <x:c r="B12" s="7" t="n">
        <x:v>3576.9</x:v>
      </x:c>
      <x:c r="C12" s="7" t="n">
        <x:v>291.7</x:v>
      </x:c>
      <x:c r="D12" s="7" t="n">
        <x:v>2340.6</x:v>
      </x:c>
      <x:c r="E12" s="7" t="n">
        <x:v>157.1</x:v>
      </x:c>
      <x:c r="F12" s="7" t="n">
        <x:v>2400</x:v>
      </x:c>
      <x:c r="G12" s="7" t="n">
        <x:v>8</x:v>
      </x:c>
      <x:c r="H12" s="8" t="n">
        <x:v>0.01786</x:v>
      </x:c>
      <x:c r="I12" s="8" t="n">
        <x:v>0.013179</x:v>
      </x:c>
    </x:row>
    <x:row r="13" ht="26" customHeight="1">
      <x:c r="A13" s="2" t="str">
        <x:v>I</x:v>
      </x:c>
      <x:c r="B13" s="7" t="n">
        <x:v>2478.2</x:v>
      </x:c>
      <x:c r="C13" s="7" t="n">
        <x:v>240.4</x:v>
      </x:c>
      <x:c r="D13" s="7" t="n">
        <x:v>1588.4</x:v>
      </x:c>
      <x:c r="E13" s="7" t="n">
        <x:v>137.2</x:v>
      </x:c>
      <x:c r="F13" s="7" t="n">
        <x:v>1600</x:v>
      </x:c>
      <x:c r="G13" s="7" t="n">
        <x:v>6</x:v>
      </x:c>
      <x:c r="H13" s="8" t="n">
        <x:v>0.011439</x:v>
      </x:c>
      <x:c r="I13" s="8" t="n">
        <x:v>0.012045</x:v>
      </x:c>
    </x:row>
    <x:row r="14" ht="26" customHeight="1">
      <x:c r="A14" s="2" t="str">
        <x:v>J</x:v>
      </x:c>
      <x:c r="B14" s="7" t="n">
        <x:v>1847.3</x:v>
      </x:c>
      <x:c r="C14" s="7" t="n">
        <x:v>182.4</x:v>
      </x:c>
      <x:c r="D14" s="7" t="n">
        <x:v>1573.6</x:v>
      </x:c>
      <x:c r="E14" s="7" t="n">
        <x:v>147.9</x:v>
      </x:c>
      <x:c r="F14" s="7" t="n">
        <x:v>1600</x:v>
      </x:c>
      <x:c r="G14" s="7" t="n">
        <x:v>6</x:v>
      </x:c>
      <x:c r="H14" s="8" t="n">
        <x:v>0.010432</x:v>
      </x:c>
      <x:c r="I14" s="8" t="n">
        <x:v>0.012725</x:v>
      </x:c>
    </x:row>
    <x:row r="15" ht="26" customHeight="1">
      <x:c r="A15" s="2" t="str">
        <x:v>K</x:v>
      </x:c>
      <x:c r="B15" s="7" t="n">
        <x:v>829.9</x:v>
      </x:c>
      <x:c r="C15" s="7" t="n">
        <x:v>83.3</x:v>
      </x:c>
      <x:c r="D15" s="7" t="n">
        <x:v>829.9</x:v>
      </x:c>
      <x:c r="E15" s="7" t="n">
        <x:v>83.3</x:v>
      </x:c>
      <x:c r="F15" s="7" t="n">
        <x:v>700</x:v>
      </x:c>
      <x:c r="G15" s="7" t="n">
        <x:v>3</x:v>
      </x:c>
      <x:c r="H15" s="8" t="n">
        <x:v>0.006967</x:v>
      </x:c>
      <x:c r="I15" s="8" t="n">
        <x:v>0.009791</x:v>
      </x:c>
    </x:row>
    <x:row r="16" ht="26" customHeight="1">
      <x:c r="A16" s="2" t="str">
        <x:v>L</x:v>
      </x:c>
      <x:c r="B16" s="7" t="n">
        <x:v>4607.9</x:v>
      </x:c>
      <x:c r="C16" s="7" t="n">
        <x:v>368.2</x:v>
      </x:c>
      <x:c r="D16" s="7" t="n">
        <x:v>2496.1</x:v>
      </x:c>
      <x:c r="E16" s="7" t="n">
        <x:v>250.9</x:v>
      </x:c>
      <x:c r="F16" s="7" t="n">
        <x:v>2600</x:v>
      </x:c>
      <x:c r="G16" s="7" t="n">
        <x:v>9</x:v>
      </x:c>
      <x:c r="H16" s="8" t="n">
        <x:v>0.018558</x:v>
      </x:c>
      <x:c r="I16" s="8" t="n">
        <x:v>0.016039</x:v>
      </x:c>
    </x:row>
    <x:row r="17" ht="26" customHeight="1">
      <x:c r="A17" s="2" t="str">
        <x:v>M</x:v>
      </x:c>
      <x:c r="B17" s="7" t="n">
        <x:v>779.5</x:v>
      </x:c>
      <x:c r="C17" s="7" t="n">
        <x:v>64.5</x:v>
      </x:c>
      <x:c r="D17" s="7" t="n">
        <x:v>779.5</x:v>
      </x:c>
      <x:c r="E17" s="7" t="n">
        <x:v>64.5</x:v>
      </x:c>
      <x:c r="F17" s="7" t="n">
        <x:v>2400</x:v>
      </x:c>
      <x:c r="G17" s="7" t="n">
        <x:v>6</x:v>
      </x:c>
      <x:c r="H17" s="8" t="n">
        <x:v>0.00613</x:v>
      </x:c>
      <x:c r="I17" s="8" t="n">
        <x:v>0.006278</x:v>
      </x:c>
    </x:row>
    <x:row r="19">
      <x:c r="A19" t="str">
        <x:v>Graph distance follows selected OSRM-profile corridors; it is not the street-level global minimum.</x:v>
      </x:c>
    </x:row>
    <x:row r="20">
      <x:c r="A20" t="str">
        <x:v>Graph/OSRM times are static profile estimates. Google values are rounded recommended-route snapshots.</x:v>
      </x:c>
    </x:row>
    <x:row r="21">
      <x:c r="A21" t="str">
        <x:v>Code median: 21 batches x 100 calls, prebuilt graph. Values are milliseconds and exclude I/O and tracing.</x:v>
      </x:c>
    </x:row>
    <x:row r="23">
      <x:c r="A23" s="10" t="str">
        <x:v>Task</x:v>
      </x:c>
      <x:c r="B23" s="10" t="str">
        <x:v>Distance route</x:v>
      </x:c>
      <x:c r="C23" s="10" t="str">
        <x:v>Time route</x:v>
      </x:c>
    </x:row>
    <x:row r="24">
      <x:c r="A24" t="str">
        <x:v>C</x:v>
      </x:c>
      <x:c r="B24" t="str">
        <x:v>A-B-C</x:v>
      </x:c>
      <x:c r="C24" t="str">
        <x:v>A-B-C</x:v>
      </x:c>
    </x:row>
    <x:row r="25">
      <x:c r="A25" t="str">
        <x:v>D</x:v>
      </x:c>
      <x:c r="B25" t="str">
        <x:v>A-B-C-D</x:v>
      </x:c>
      <x:c r="C25" t="str">
        <x:v>A-B-C-D</x:v>
      </x:c>
    </x:row>
    <x:row r="26">
      <x:c r="A26" t="str">
        <x:v>J</x:v>
      </x:c>
      <x:c r="B26" t="str">
        <x:v>A-K-J</x:v>
      </x:c>
      <x:c r="C26" t="str">
        <x:v>A-B-J</x:v>
      </x:c>
    </x:row>
    <x:row r="27">
      <x:c r="A27" t="str">
        <x:v>L</x:v>
      </x:c>
      <x:c r="B27" t="str">
        <x:v>A-B-C-L</x:v>
      </x:c>
      <x:c r="C27" t="str">
        <x:v>A-B-C-L</x:v>
      </x:c>
    </x:row>
    <x:row r="28">
      <x:c r="A28" t="str">
        <x:v>M</x:v>
      </x:c>
      <x:c r="B28" t="str">
        <x:v>A-M</x:v>
      </x:c>
      <x:c r="C28" t="str">
        <x:v>A-M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.285714149475098" hidden="0" customWidth="1"/>
    <x:col min="2" max="2" width="7.857142925262451" hidden="0" customWidth="1"/>
    <x:col min="3" max="3" width="15.714285850524902" hidden="0" customWidth="1"/>
    <x:col min="4" max="4" width="20" hidden="0" customWidth="1"/>
    <x:col min="5" max="5" width="13.571428298950195" hidden="0" customWidth="1"/>
    <x:col min="6" max="6" width="13.571428298950195" hidden="0" customWidth="1"/>
    <x:col min="7" max="7" width="15.714285850524902" hidden="0" customWidth="1"/>
    <x:col min="8" max="8" width="15.714285850524902" hidden="0" customWidth="1"/>
    <x:col min="9" max="9" width="14.285714149475098" hidden="0" customWidth="1"/>
    <x:col min="10" max="10" width="32.14285659790039" hidden="0" customWidth="1"/>
  </x:cols>
  <x:sheetData>
    <x:row r="2">
      <x:c r="A2" s="1" t="str">
        <x:v>Human observations - blank until measured</x:v>
      </x:c>
    </x:row>
    <x:row r="3">
      <x:c r="A3" s="15" t="str">
        <x:v>Amber cells: enter observations and chosen cost from the explorer. Task/objective rows are fixed. Costs use m or s as shown.</x:v>
      </x:c>
    </x:row>
    <x:row r="5" ht="34" customHeight="1">
      <x:c r="A5" s="5" t="str">
        <x:v>Participant</x:v>
      </x:c>
      <x:c r="B5" s="5" t="str">
        <x:v>Task</x:v>
      </x:c>
      <x:c r="C5" s="5" t="str">
        <x:v>Objective</x:v>
      </x:c>
      <x:c r="D5" s="5" t="str">
        <x:v>Route IDs</x:v>
      </x:c>
      <x:c r="E5" s="5" t="str">
        <x:v>Decision s</x:v>
      </x:c>
      <x:c r="F5" s="5" t="str">
        <x:v>Manual s</x:v>
      </x:c>
      <x:c r="G5" s="5" t="str">
        <x:v>Chosen cost</x:v>
      </x:c>
      <x:c r="H5" s="5" t="str">
        <x:v>Optimal cost</x:v>
      </x:c>
      <x:c r="I5" s="5" t="str">
        <x:v>Route gap</x:v>
      </x:c>
      <x:c r="J5" s="5" t="str">
        <x:v>Status</x:v>
      </x:c>
    </x:row>
    <x:row r="6" ht="26" customHeight="1">
      <x:c r="A6" s="11"/>
      <x:c r="B6" s="2" t="str">
        <x:v>C</x:v>
      </x:c>
      <x:c r="C6" s="2" t="str">
        <x:v>distance_m</x:v>
      </x:c>
      <x:c r="D6" s="11"/>
      <x:c r="E6" s="11"/>
      <x:c r="F6" s="11"/>
      <x:c r="G6" s="12"/>
      <x:c r="H6" s="7" t="n">
        <x:f>Results!B7</x:f>
        <x:v>1497</x:v>
      </x:c>
      <x:c r="I6" s="13" t="str">
        <x:f>IF(OR(A6="",D6="",COUNT(G6)=0),"",IF(G6&lt;H6-0.01,"",(G6-H6)/H6))</x:f>
      </x:c>
      <x:c r="J6" s="2" t="str">
        <x:f>IF(OR(A6="",D6="",COUNT(G6)=0),"Awaiting route data",IF(G6&lt;H6-0.01,"Check chosen cost",IF(COUNT(E6:F6)&lt;2,"Route scored; time pending",IF(OR(E6&lt;0,F6&lt;0),"Check times","Complete"))))</x:f>
        <x:v>Awaiting route data</x:v>
      </x:c>
    </x:row>
    <x:row r="7" ht="26" customHeight="1">
      <x:c r="A7" s="11"/>
      <x:c r="B7" s="2" t="str">
        <x:v>C</x:v>
      </x:c>
      <x:c r="C7" s="2" t="str">
        <x:v>duration_s</x:v>
      </x:c>
      <x:c r="D7" s="11"/>
      <x:c r="E7" s="11"/>
      <x:c r="F7" s="11"/>
      <x:c r="G7" s="12"/>
      <x:c r="H7" s="7" t="n">
        <x:f>Results!C7</x:f>
        <x:v>130.9</x:v>
      </x:c>
      <x:c r="I7" s="13" t="str">
        <x:f>IF(OR(A7="",D7="",COUNT(G7)=0),"",IF(G7&lt;H7-0.01,"",(G7-H7)/H7))</x:f>
      </x:c>
      <x:c r="J7" s="2" t="str">
        <x:f>IF(OR(A7="",D7="",COUNT(G7)=0),"Awaiting route data",IF(G7&lt;H7-0.01,"Check chosen cost",IF(COUNT(E7:F7)&lt;2,"Route scored; time pending",IF(OR(E7&lt;0,F7&lt;0),"Check times","Complete"))))</x:f>
        <x:v>Awaiting route data</x:v>
      </x:c>
    </x:row>
    <x:row r="8" ht="26" customHeight="1">
      <x:c r="A8" s="11"/>
      <x:c r="B8" s="2" t="str">
        <x:v>D</x:v>
      </x:c>
      <x:c r="C8" s="2" t="str">
        <x:v>distance_m</x:v>
      </x:c>
      <x:c r="D8" s="11"/>
      <x:c r="E8" s="11"/>
      <x:c r="F8" s="11"/>
      <x:c r="G8" s="12"/>
      <x:c r="H8" s="7" t="n">
        <x:f>Results!B8</x:f>
        <x:v>2695</x:v>
      </x:c>
      <x:c r="I8" s="13" t="str">
        <x:f>IF(OR(A8="",D8="",COUNT(G8)=0),"",IF(G8&lt;H8-0.01,"",(G8-H8)/H8))</x:f>
      </x:c>
      <x:c r="J8" s="2" t="str">
        <x:f>IF(OR(A8="",D8="",COUNT(G8)=0),"Awaiting route data",IF(G8&lt;H8-0.01,"Check chosen cost",IF(COUNT(E8:F8)&lt;2,"Route scored; time pending",IF(OR(E8&lt;0,F8&lt;0),"Check times","Complete"))))</x:f>
        <x:v>Awaiting route data</x:v>
      </x:c>
    </x:row>
    <x:row r="9" ht="26" customHeight="1">
      <x:c r="A9" s="11"/>
      <x:c r="B9" s="2" t="str">
        <x:v>D</x:v>
      </x:c>
      <x:c r="C9" s="2" t="str">
        <x:v>duration_s</x:v>
      </x:c>
      <x:c r="D9" s="11"/>
      <x:c r="E9" s="11"/>
      <x:c r="F9" s="11"/>
      <x:c r="G9" s="12"/>
      <x:c r="H9" s="7" t="n">
        <x:f>Results!C8</x:f>
        <x:v>216.7</x:v>
      </x:c>
      <x:c r="I9" s="13" t="str">
        <x:f>IF(OR(A9="",D9="",COUNT(G9)=0),"",IF(G9&lt;H9-0.01,"",(G9-H9)/H9))</x:f>
      </x:c>
      <x:c r="J9" s="2" t="str">
        <x:f>IF(OR(A9="",D9="",COUNT(G9)=0),"Awaiting route data",IF(G9&lt;H9-0.01,"Check chosen cost",IF(COUNT(E9:F9)&lt;2,"Route scored; time pending",IF(OR(E9&lt;0,F9&lt;0),"Check times","Complete"))))</x:f>
        <x:v>Awaiting route data</x:v>
      </x:c>
    </x:row>
    <x:row r="10" ht="26" customHeight="1">
      <x:c r="A10" s="11"/>
      <x:c r="B10" s="2" t="str">
        <x:v>J</x:v>
      </x:c>
      <x:c r="C10" s="2" t="str">
        <x:v>distance_m</x:v>
      </x:c>
      <x:c r="D10" s="11"/>
      <x:c r="E10" s="11"/>
      <x:c r="F10" s="11"/>
      <x:c r="G10" s="12"/>
      <x:c r="H10" s="7" t="n">
        <x:f>Results!B14</x:f>
        <x:v>1847.3</x:v>
      </x:c>
      <x:c r="I10" s="13" t="str">
        <x:f>IF(OR(A10="",D10="",COUNT(G10)=0),"",IF(G10&lt;H10-0.01,"",(G10-H10)/H10))</x:f>
      </x:c>
      <x:c r="J10" s="2" t="str">
        <x:f>IF(OR(A10="",D10="",COUNT(G10)=0),"Awaiting route data",IF(G10&lt;H10-0.01,"Check chosen cost",IF(COUNT(E10:F10)&lt;2,"Route scored; time pending",IF(OR(E10&lt;0,F10&lt;0),"Check times","Complete"))))</x:f>
        <x:v>Awaiting route data</x:v>
      </x:c>
    </x:row>
    <x:row r="11" ht="26" customHeight="1">
      <x:c r="A11" s="11"/>
      <x:c r="B11" s="2" t="str">
        <x:v>J</x:v>
      </x:c>
      <x:c r="C11" s="2" t="str">
        <x:v>duration_s</x:v>
      </x:c>
      <x:c r="D11" s="11"/>
      <x:c r="E11" s="11"/>
      <x:c r="F11" s="11"/>
      <x:c r="G11" s="12"/>
      <x:c r="H11" s="7" t="n">
        <x:f>Results!C14</x:f>
        <x:v>182.4</x:v>
      </x:c>
      <x:c r="I11" s="13" t="str">
        <x:f>IF(OR(A11="",D11="",COUNT(G11)=0),"",IF(G11&lt;H11-0.01,"",(G11-H11)/H11))</x:f>
      </x:c>
      <x:c r="J11" s="2" t="str">
        <x:f>IF(OR(A11="",D11="",COUNT(G11)=0),"Awaiting route data",IF(G11&lt;H11-0.01,"Check chosen cost",IF(COUNT(E11:F11)&lt;2,"Route scored; time pending",IF(OR(E11&lt;0,F11&lt;0),"Check times","Complete"))))</x:f>
        <x:v>Awaiting route data</x:v>
      </x:c>
    </x:row>
    <x:row r="12" ht="26" customHeight="1">
      <x:c r="A12" s="11"/>
      <x:c r="B12" s="2" t="str">
        <x:v>L</x:v>
      </x:c>
      <x:c r="C12" s="2" t="str">
        <x:v>distance_m</x:v>
      </x:c>
      <x:c r="D12" s="11"/>
      <x:c r="E12" s="11"/>
      <x:c r="F12" s="11"/>
      <x:c r="G12" s="12"/>
      <x:c r="H12" s="7" t="n">
        <x:f>Results!B16</x:f>
        <x:v>4607.9</x:v>
      </x:c>
      <x:c r="I12" s="13" t="str">
        <x:f>IF(OR(A12="",D12="",COUNT(G12)=0),"",IF(G12&lt;H12-0.01,"",(G12-H12)/H12))</x:f>
      </x:c>
      <x:c r="J12" s="2" t="str">
        <x:f>IF(OR(A12="",D12="",COUNT(G12)=0),"Awaiting route data",IF(G12&lt;H12-0.01,"Check chosen cost",IF(COUNT(E12:F12)&lt;2,"Route scored; time pending",IF(OR(E12&lt;0,F12&lt;0),"Check times","Complete"))))</x:f>
        <x:v>Awaiting route data</x:v>
      </x:c>
    </x:row>
    <x:row r="13" ht="26" customHeight="1">
      <x:c r="A13" s="11"/>
      <x:c r="B13" s="2" t="str">
        <x:v>L</x:v>
      </x:c>
      <x:c r="C13" s="2" t="str">
        <x:v>duration_s</x:v>
      </x:c>
      <x:c r="D13" s="11"/>
      <x:c r="E13" s="11"/>
      <x:c r="F13" s="11"/>
      <x:c r="G13" s="12"/>
      <x:c r="H13" s="7" t="n">
        <x:f>Results!C16</x:f>
        <x:v>368.2</x:v>
      </x:c>
      <x:c r="I13" s="13" t="str">
        <x:f>IF(OR(A13="",D13="",COUNT(G13)=0),"",IF(G13&lt;H13-0.01,"",(G13-H13)/H13))</x:f>
      </x:c>
      <x:c r="J13" s="2" t="str">
        <x:f>IF(OR(A13="",D13="",COUNT(G13)=0),"Awaiting route data",IF(G13&lt;H13-0.01,"Check chosen cost",IF(COUNT(E13:F13)&lt;2,"Route scored; time pending",IF(OR(E13&lt;0,F13&lt;0),"Check times","Complete"))))</x:f>
        <x:v>Awaiting route data</x:v>
      </x:c>
    </x:row>
    <x:row r="14" ht="26" customHeight="1">
      <x:c r="A14" s="11"/>
      <x:c r="B14" s="2" t="str">
        <x:v>M</x:v>
      </x:c>
      <x:c r="C14" s="2" t="str">
        <x:v>distance_m</x:v>
      </x:c>
      <x:c r="D14" s="11"/>
      <x:c r="E14" s="11"/>
      <x:c r="F14" s="11"/>
      <x:c r="G14" s="12"/>
      <x:c r="H14" s="7" t="n">
        <x:f>Results!B17</x:f>
        <x:v>779.5</x:v>
      </x:c>
      <x:c r="I14" s="13" t="str">
        <x:f>IF(OR(A14="",D14="",COUNT(G14)=0),"",IF(G14&lt;H14-0.01,"",(G14-H14)/H14))</x:f>
      </x:c>
      <x:c r="J14" s="2" t="str">
        <x:f>IF(OR(A14="",D14="",COUNT(G14)=0),"Awaiting route data",IF(G14&lt;H14-0.01,"Check chosen cost",IF(COUNT(E14:F14)&lt;2,"Route scored; time pending",IF(OR(E14&lt;0,F14&lt;0),"Check times","Complete"))))</x:f>
        <x:v>Awaiting route data</x:v>
      </x:c>
    </x:row>
    <x:row r="15" ht="26" customHeight="1">
      <x:c r="A15" s="11"/>
      <x:c r="B15" s="2" t="str">
        <x:v>M</x:v>
      </x:c>
      <x:c r="C15" s="2" t="str">
        <x:v>duration_s</x:v>
      </x:c>
      <x:c r="D15" s="11"/>
      <x:c r="E15" s="11"/>
      <x:c r="F15" s="11"/>
      <x:c r="G15" s="12"/>
      <x:c r="H15" s="7" t="n">
        <x:f>Results!C17</x:f>
        <x:v>64.5</x:v>
      </x:c>
      <x:c r="I15" s="13" t="str">
        <x:f>IF(OR(A15="",D15="",COUNT(G15)=0),"",IF(G15&lt;H15-0.01,"",(G15-H15)/H15))</x:f>
      </x:c>
      <x:c r="J15" s="2" t="str">
        <x:f>IF(OR(A15="",D15="",COUNT(G15)=0),"Awaiting route data",IF(G15&lt;H15-0.01,"Check chosen cost",IF(COUNT(E15:F15)&lt;2,"Route scored; time pending",IF(OR(E15&lt;0,F15&lt;0),"Check times","Complete"))))</x:f>
        <x:v>Awaiting route data</x:v>
      </x:c>
    </x:row>
    <x:row r="16" ht="26" customHeight="1">
      <x:c r="A16" s="11"/>
      <x:c r="B16" s="2" t="str">
        <x:v>C</x:v>
      </x:c>
      <x:c r="C16" s="2" t="str">
        <x:v>distance_m</x:v>
      </x:c>
      <x:c r="D16" s="11"/>
      <x:c r="E16" s="11"/>
      <x:c r="F16" s="11"/>
      <x:c r="G16" s="12"/>
      <x:c r="H16" s="7" t="n">
        <x:f>Results!B7</x:f>
        <x:v>1497</x:v>
      </x:c>
      <x:c r="I16" s="13" t="str">
        <x:f>IF(OR(A16="",D16="",COUNT(G16)=0),"",IF(G16&lt;H16-0.01,"",(G16-H16)/H16))</x:f>
      </x:c>
      <x:c r="J16" s="2" t="str">
        <x:f>IF(OR(A16="",D16="",COUNT(G16)=0),"Awaiting route data",IF(G16&lt;H16-0.01,"Check chosen cost",IF(COUNT(E16:F16)&lt;2,"Route scored; time pending",IF(OR(E16&lt;0,F16&lt;0),"Check times","Complete"))))</x:f>
        <x:v>Awaiting route data</x:v>
      </x:c>
    </x:row>
    <x:row r="17" ht="26" customHeight="1">
      <x:c r="A17" s="11"/>
      <x:c r="B17" s="2" t="str">
        <x:v>C</x:v>
      </x:c>
      <x:c r="C17" s="2" t="str">
        <x:v>duration_s</x:v>
      </x:c>
      <x:c r="D17" s="11"/>
      <x:c r="E17" s="11"/>
      <x:c r="F17" s="11"/>
      <x:c r="G17" s="12"/>
      <x:c r="H17" s="7" t="n">
        <x:f>Results!C7</x:f>
        <x:v>130.9</x:v>
      </x:c>
      <x:c r="I17" s="13" t="str">
        <x:f>IF(OR(A17="",D17="",COUNT(G17)=0),"",IF(G17&lt;H17-0.01,"",(G17-H17)/H17))</x:f>
      </x:c>
      <x:c r="J17" s="2" t="str">
        <x:f>IF(OR(A17="",D17="",COUNT(G17)=0),"Awaiting route data",IF(G17&lt;H17-0.01,"Check chosen cost",IF(COUNT(E17:F17)&lt;2,"Route scored; time pending",IF(OR(E17&lt;0,F17&lt;0),"Check times","Complete"))))</x:f>
        <x:v>Awaiting route data</x:v>
      </x:c>
    </x:row>
    <x:row r="18" ht="26" customHeight="1">
      <x:c r="A18" s="11"/>
      <x:c r="B18" s="2" t="str">
        <x:v>D</x:v>
      </x:c>
      <x:c r="C18" s="2" t="str">
        <x:v>distance_m</x:v>
      </x:c>
      <x:c r="D18" s="11"/>
      <x:c r="E18" s="11"/>
      <x:c r="F18" s="11"/>
      <x:c r="G18" s="12"/>
      <x:c r="H18" s="7" t="n">
        <x:f>Results!B8</x:f>
        <x:v>2695</x:v>
      </x:c>
      <x:c r="I18" s="13" t="str">
        <x:f>IF(OR(A18="",D18="",COUNT(G18)=0),"",IF(G18&lt;H18-0.01,"",(G18-H18)/H18))</x:f>
      </x:c>
      <x:c r="J18" s="2" t="str">
        <x:f>IF(OR(A18="",D18="",COUNT(G18)=0),"Awaiting route data",IF(G18&lt;H18-0.01,"Check chosen cost",IF(COUNT(E18:F18)&lt;2,"Route scored; time pending",IF(OR(E18&lt;0,F18&lt;0),"Check times","Complete"))))</x:f>
        <x:v>Awaiting route data</x:v>
      </x:c>
    </x:row>
    <x:row r="19" ht="26" customHeight="1">
      <x:c r="A19" s="11"/>
      <x:c r="B19" s="2" t="str">
        <x:v>D</x:v>
      </x:c>
      <x:c r="C19" s="2" t="str">
        <x:v>duration_s</x:v>
      </x:c>
      <x:c r="D19" s="11"/>
      <x:c r="E19" s="11"/>
      <x:c r="F19" s="11"/>
      <x:c r="G19" s="12"/>
      <x:c r="H19" s="7" t="n">
        <x:f>Results!C8</x:f>
        <x:v>216.7</x:v>
      </x:c>
      <x:c r="I19" s="13" t="str">
        <x:f>IF(OR(A19="",D19="",COUNT(G19)=0),"",IF(G19&lt;H19-0.01,"",(G19-H19)/H19))</x:f>
      </x:c>
      <x:c r="J19" s="2" t="str">
        <x:f>IF(OR(A19="",D19="",COUNT(G19)=0),"Awaiting route data",IF(G19&lt;H19-0.01,"Check chosen cost",IF(COUNT(E19:F19)&lt;2,"Route scored; time pending",IF(OR(E19&lt;0,F19&lt;0),"Check times","Complete"))))</x:f>
        <x:v>Awaiting route data</x:v>
      </x:c>
    </x:row>
    <x:row r="20" ht="26" customHeight="1">
      <x:c r="A20" s="11"/>
      <x:c r="B20" s="2" t="str">
        <x:v>J</x:v>
      </x:c>
      <x:c r="C20" s="2" t="str">
        <x:v>distance_m</x:v>
      </x:c>
      <x:c r="D20" s="11"/>
      <x:c r="E20" s="11"/>
      <x:c r="F20" s="11"/>
      <x:c r="G20" s="12"/>
      <x:c r="H20" s="7" t="n">
        <x:f>Results!B14</x:f>
        <x:v>1847.3</x:v>
      </x:c>
      <x:c r="I20" s="13" t="str">
        <x:f>IF(OR(A20="",D20="",COUNT(G20)=0),"",IF(G20&lt;H20-0.01,"",(G20-H20)/H20))</x:f>
      </x:c>
      <x:c r="J20" s="2" t="str">
        <x:f>IF(OR(A20="",D20="",COUNT(G20)=0),"Awaiting route data",IF(G20&lt;H20-0.01,"Check chosen cost",IF(COUNT(E20:F20)&lt;2,"Route scored; time pending",IF(OR(E20&lt;0,F20&lt;0),"Check times","Complete"))))</x:f>
        <x:v>Awaiting route data</x:v>
      </x:c>
    </x:row>
    <x:row r="21" ht="26" customHeight="1">
      <x:c r="A21" s="11"/>
      <x:c r="B21" s="2" t="str">
        <x:v>J</x:v>
      </x:c>
      <x:c r="C21" s="2" t="str">
        <x:v>duration_s</x:v>
      </x:c>
      <x:c r="D21" s="11"/>
      <x:c r="E21" s="11"/>
      <x:c r="F21" s="11"/>
      <x:c r="G21" s="12"/>
      <x:c r="H21" s="7" t="n">
        <x:f>Results!C14</x:f>
        <x:v>182.4</x:v>
      </x:c>
      <x:c r="I21" s="13" t="str">
        <x:f>IF(OR(A21="",D21="",COUNT(G21)=0),"",IF(G21&lt;H21-0.01,"",(G21-H21)/H21))</x:f>
      </x:c>
      <x:c r="J21" s="2" t="str">
        <x:f>IF(OR(A21="",D21="",COUNT(G21)=0),"Awaiting route data",IF(G21&lt;H21-0.01,"Check chosen cost",IF(COUNT(E21:F21)&lt;2,"Route scored; time pending",IF(OR(E21&lt;0,F21&lt;0),"Check times","Complete"))))</x:f>
        <x:v>Awaiting route data</x:v>
      </x:c>
    </x:row>
    <x:row r="22" ht="26" customHeight="1">
      <x:c r="A22" s="11"/>
      <x:c r="B22" s="2" t="str">
        <x:v>L</x:v>
      </x:c>
      <x:c r="C22" s="2" t="str">
        <x:v>distance_m</x:v>
      </x:c>
      <x:c r="D22" s="11"/>
      <x:c r="E22" s="11"/>
      <x:c r="F22" s="11"/>
      <x:c r="G22" s="12"/>
      <x:c r="H22" s="7" t="n">
        <x:f>Results!B16</x:f>
        <x:v>4607.9</x:v>
      </x:c>
      <x:c r="I22" s="13" t="str">
        <x:f>IF(OR(A22="",D22="",COUNT(G22)=0),"",IF(G22&lt;H22-0.01,"",(G22-H22)/H22))</x:f>
      </x:c>
      <x:c r="J22" s="2" t="str">
        <x:f>IF(OR(A22="",D22="",COUNT(G22)=0),"Awaiting route data",IF(G22&lt;H22-0.01,"Check chosen cost",IF(COUNT(E22:F22)&lt;2,"Route scored; time pending",IF(OR(E22&lt;0,F22&lt;0),"Check times","Complete"))))</x:f>
        <x:v>Awaiting route data</x:v>
      </x:c>
    </x:row>
    <x:row r="23" ht="26" customHeight="1">
      <x:c r="A23" s="11"/>
      <x:c r="B23" s="2" t="str">
        <x:v>L</x:v>
      </x:c>
      <x:c r="C23" s="2" t="str">
        <x:v>duration_s</x:v>
      </x:c>
      <x:c r="D23" s="11"/>
      <x:c r="E23" s="11"/>
      <x:c r="F23" s="11"/>
      <x:c r="G23" s="12"/>
      <x:c r="H23" s="7" t="n">
        <x:f>Results!C16</x:f>
        <x:v>368.2</x:v>
      </x:c>
      <x:c r="I23" s="13" t="str">
        <x:f>IF(OR(A23="",D23="",COUNT(G23)=0),"",IF(G23&lt;H23-0.01,"",(G23-H23)/H23))</x:f>
      </x:c>
      <x:c r="J23" s="2" t="str">
        <x:f>IF(OR(A23="",D23="",COUNT(G23)=0),"Awaiting route data",IF(G23&lt;H23-0.01,"Check chosen cost",IF(COUNT(E23:F23)&lt;2,"Route scored; time pending",IF(OR(E23&lt;0,F23&lt;0),"Check times","Complete"))))</x:f>
        <x:v>Awaiting route data</x:v>
      </x:c>
    </x:row>
    <x:row r="24" ht="26" customHeight="1">
      <x:c r="A24" s="11"/>
      <x:c r="B24" s="2" t="str">
        <x:v>M</x:v>
      </x:c>
      <x:c r="C24" s="2" t="str">
        <x:v>distance_m</x:v>
      </x:c>
      <x:c r="D24" s="11"/>
      <x:c r="E24" s="11"/>
      <x:c r="F24" s="11"/>
      <x:c r="G24" s="12"/>
      <x:c r="H24" s="7" t="n">
        <x:f>Results!B17</x:f>
        <x:v>779.5</x:v>
      </x:c>
      <x:c r="I24" s="13" t="str">
        <x:f>IF(OR(A24="",D24="",COUNT(G24)=0),"",IF(G24&lt;H24-0.01,"",(G24-H24)/H24))</x:f>
      </x:c>
      <x:c r="J24" s="2" t="str">
        <x:f>IF(OR(A24="",D24="",COUNT(G24)=0),"Awaiting route data",IF(G24&lt;H24-0.01,"Check chosen cost",IF(COUNT(E24:F24)&lt;2,"Route scored; time pending",IF(OR(E24&lt;0,F24&lt;0),"Check times","Complete"))))</x:f>
        <x:v>Awaiting route data</x:v>
      </x:c>
    </x:row>
    <x:row r="25" ht="26" customHeight="1">
      <x:c r="A25" s="11"/>
      <x:c r="B25" s="2" t="str">
        <x:v>M</x:v>
      </x:c>
      <x:c r="C25" s="2" t="str">
        <x:v>duration_s</x:v>
      </x:c>
      <x:c r="D25" s="11"/>
      <x:c r="E25" s="11"/>
      <x:c r="F25" s="11"/>
      <x:c r="G25" s="12"/>
      <x:c r="H25" s="7" t="n">
        <x:f>Results!C17</x:f>
        <x:v>64.5</x:v>
      </x:c>
      <x:c r="I25" s="13" t="str">
        <x:f>IF(OR(A25="",D25="",COUNT(G25)=0),"",IF(G25&lt;H25-0.01,"",(G25-H25)/H25))</x:f>
      </x:c>
      <x:c r="J25" s="2" t="str">
        <x:f>IF(OR(A25="",D25="",COUNT(G25)=0),"Awaiting route data",IF(G25&lt;H25-0.01,"Check chosen cost",IF(COUNT(E25:F25)&lt;2,"Route scored; time pending",IF(OR(E25&lt;0,F25&lt;0),"Check times","Complete"))))</x:f>
        <x:v>Awaiting route data</x:v>
      </x:c>
    </x:row>
    <x:row r="26" ht="26" customHeight="1">
      <x:c r="A26" s="11"/>
      <x:c r="B26" s="2" t="str">
        <x:v>C</x:v>
      </x:c>
      <x:c r="C26" s="2" t="str">
        <x:v>distance_m</x:v>
      </x:c>
      <x:c r="D26" s="11"/>
      <x:c r="E26" s="11"/>
      <x:c r="F26" s="11"/>
      <x:c r="G26" s="12"/>
      <x:c r="H26" s="7" t="n">
        <x:f>Results!B7</x:f>
        <x:v>1497</x:v>
      </x:c>
      <x:c r="I26" s="13" t="str">
        <x:f>IF(OR(A26="",D26="",COUNT(G26)=0),"",IF(G26&lt;H26-0.01,"",(G26-H26)/H26))</x:f>
      </x:c>
      <x:c r="J26" s="2" t="str">
        <x:f>IF(OR(A26="",D26="",COUNT(G26)=0),"Awaiting route data",IF(G26&lt;H26-0.01,"Check chosen cost",IF(COUNT(E26:F26)&lt;2,"Route scored; time pending",IF(OR(E26&lt;0,F26&lt;0),"Check times","Complete"))))</x:f>
        <x:v>Awaiting route data</x:v>
      </x:c>
    </x:row>
    <x:row r="27" ht="26" customHeight="1">
      <x:c r="A27" s="11"/>
      <x:c r="B27" s="2" t="str">
        <x:v>C</x:v>
      </x:c>
      <x:c r="C27" s="2" t="str">
        <x:v>duration_s</x:v>
      </x:c>
      <x:c r="D27" s="11"/>
      <x:c r="E27" s="11"/>
      <x:c r="F27" s="11"/>
      <x:c r="G27" s="12"/>
      <x:c r="H27" s="7" t="n">
        <x:f>Results!C7</x:f>
        <x:v>130.9</x:v>
      </x:c>
      <x:c r="I27" s="13" t="str">
        <x:f>IF(OR(A27="",D27="",COUNT(G27)=0),"",IF(G27&lt;H27-0.01,"",(G27-H27)/H27))</x:f>
      </x:c>
      <x:c r="J27" s="2" t="str">
        <x:f>IF(OR(A27="",D27="",COUNT(G27)=0),"Awaiting route data",IF(G27&lt;H27-0.01,"Check chosen cost",IF(COUNT(E27:F27)&lt;2,"Route scored; time pending",IF(OR(E27&lt;0,F27&lt;0),"Check times","Complete"))))</x:f>
        <x:v>Awaiting route data</x:v>
      </x:c>
    </x:row>
    <x:row r="28" ht="26" customHeight="1">
      <x:c r="A28" s="11"/>
      <x:c r="B28" s="2" t="str">
        <x:v>D</x:v>
      </x:c>
      <x:c r="C28" s="2" t="str">
        <x:v>distance_m</x:v>
      </x:c>
      <x:c r="D28" s="11"/>
      <x:c r="E28" s="11"/>
      <x:c r="F28" s="11"/>
      <x:c r="G28" s="12"/>
      <x:c r="H28" s="7" t="n">
        <x:f>Results!B8</x:f>
        <x:v>2695</x:v>
      </x:c>
      <x:c r="I28" s="13" t="str">
        <x:f>IF(OR(A28="",D28="",COUNT(G28)=0),"",IF(G28&lt;H28-0.01,"",(G28-H28)/H28))</x:f>
      </x:c>
      <x:c r="J28" s="2" t="str">
        <x:f>IF(OR(A28="",D28="",COUNT(G28)=0),"Awaiting route data",IF(G28&lt;H28-0.01,"Check chosen cost",IF(COUNT(E28:F28)&lt;2,"Route scored; time pending",IF(OR(E28&lt;0,F28&lt;0),"Check times","Complete"))))</x:f>
        <x:v>Awaiting route data</x:v>
      </x:c>
    </x:row>
    <x:row r="29" ht="26" customHeight="1">
      <x:c r="A29" s="11"/>
      <x:c r="B29" s="2" t="str">
        <x:v>D</x:v>
      </x:c>
      <x:c r="C29" s="2" t="str">
        <x:v>duration_s</x:v>
      </x:c>
      <x:c r="D29" s="11"/>
      <x:c r="E29" s="11"/>
      <x:c r="F29" s="11"/>
      <x:c r="G29" s="12"/>
      <x:c r="H29" s="7" t="n">
        <x:f>Results!C8</x:f>
        <x:v>216.7</x:v>
      </x:c>
      <x:c r="I29" s="13" t="str">
        <x:f>IF(OR(A29="",D29="",COUNT(G29)=0),"",IF(G29&lt;H29-0.01,"",(G29-H29)/H29))</x:f>
      </x:c>
      <x:c r="J29" s="2" t="str">
        <x:f>IF(OR(A29="",D29="",COUNT(G29)=0),"Awaiting route data",IF(G29&lt;H29-0.01,"Check chosen cost",IF(COUNT(E29:F29)&lt;2,"Route scored; time pending",IF(OR(E29&lt;0,F29&lt;0),"Check times","Complete"))))</x:f>
        <x:v>Awaiting route data</x:v>
      </x:c>
    </x:row>
    <x:row r="30" ht="26" customHeight="1">
      <x:c r="A30" s="11"/>
      <x:c r="B30" s="2" t="str">
        <x:v>J</x:v>
      </x:c>
      <x:c r="C30" s="2" t="str">
        <x:v>distance_m</x:v>
      </x:c>
      <x:c r="D30" s="11"/>
      <x:c r="E30" s="11"/>
      <x:c r="F30" s="11"/>
      <x:c r="G30" s="12"/>
      <x:c r="H30" s="7" t="n">
        <x:f>Results!B14</x:f>
        <x:v>1847.3</x:v>
      </x:c>
      <x:c r="I30" s="13" t="str">
        <x:f>IF(OR(A30="",D30="",COUNT(G30)=0),"",IF(G30&lt;H30-0.01,"",(G30-H30)/H30))</x:f>
      </x:c>
      <x:c r="J30" s="2" t="str">
        <x:f>IF(OR(A30="",D30="",COUNT(G30)=0),"Awaiting route data",IF(G30&lt;H30-0.01,"Check chosen cost",IF(COUNT(E30:F30)&lt;2,"Route scored; time pending",IF(OR(E30&lt;0,F30&lt;0),"Check times","Complete"))))</x:f>
        <x:v>Awaiting route data</x:v>
      </x:c>
    </x:row>
    <x:row r="31" ht="26" customHeight="1">
      <x:c r="A31" s="11"/>
      <x:c r="B31" s="2" t="str">
        <x:v>J</x:v>
      </x:c>
      <x:c r="C31" s="2" t="str">
        <x:v>duration_s</x:v>
      </x:c>
      <x:c r="D31" s="11"/>
      <x:c r="E31" s="11"/>
      <x:c r="F31" s="11"/>
      <x:c r="G31" s="12"/>
      <x:c r="H31" s="7" t="n">
        <x:f>Results!C14</x:f>
        <x:v>182.4</x:v>
      </x:c>
      <x:c r="I31" s="13" t="str">
        <x:f>IF(OR(A31="",D31="",COUNT(G31)=0),"",IF(G31&lt;H31-0.01,"",(G31-H31)/H31))</x:f>
      </x:c>
      <x:c r="J31" s="2" t="str">
        <x:f>IF(OR(A31="",D31="",COUNT(G31)=0),"Awaiting route data",IF(G31&lt;H31-0.01,"Check chosen cost",IF(COUNT(E31:F31)&lt;2,"Route scored; time pending",IF(OR(E31&lt;0,F31&lt;0),"Check times","Complete"))))</x:f>
        <x:v>Awaiting route data</x:v>
      </x:c>
    </x:row>
    <x:row r="32" ht="26" customHeight="1">
      <x:c r="A32" s="11"/>
      <x:c r="B32" s="2" t="str">
        <x:v>L</x:v>
      </x:c>
      <x:c r="C32" s="2" t="str">
        <x:v>distance_m</x:v>
      </x:c>
      <x:c r="D32" s="11"/>
      <x:c r="E32" s="11"/>
      <x:c r="F32" s="11"/>
      <x:c r="G32" s="12"/>
      <x:c r="H32" s="7" t="n">
        <x:f>Results!B16</x:f>
        <x:v>4607.9</x:v>
      </x:c>
      <x:c r="I32" s="13" t="str">
        <x:f>IF(OR(A32="",D32="",COUNT(G32)=0),"",IF(G32&lt;H32-0.01,"",(G32-H32)/H32))</x:f>
      </x:c>
      <x:c r="J32" s="2" t="str">
        <x:f>IF(OR(A32="",D32="",COUNT(G32)=0),"Awaiting route data",IF(G32&lt;H32-0.01,"Check chosen cost",IF(COUNT(E32:F32)&lt;2,"Route scored; time pending",IF(OR(E32&lt;0,F32&lt;0),"Check times","Complete"))))</x:f>
        <x:v>Awaiting route data</x:v>
      </x:c>
    </x:row>
    <x:row r="33" ht="26" customHeight="1">
      <x:c r="A33" s="11"/>
      <x:c r="B33" s="2" t="str">
        <x:v>L</x:v>
      </x:c>
      <x:c r="C33" s="2" t="str">
        <x:v>duration_s</x:v>
      </x:c>
      <x:c r="D33" s="11"/>
      <x:c r="E33" s="11"/>
      <x:c r="F33" s="11"/>
      <x:c r="G33" s="12"/>
      <x:c r="H33" s="7" t="n">
        <x:f>Results!C16</x:f>
        <x:v>368.2</x:v>
      </x:c>
      <x:c r="I33" s="13" t="str">
        <x:f>IF(OR(A33="",D33="",COUNT(G33)=0),"",IF(G33&lt;H33-0.01,"",(G33-H33)/H33))</x:f>
      </x:c>
      <x:c r="J33" s="2" t="str">
        <x:f>IF(OR(A33="",D33="",COUNT(G33)=0),"Awaiting route data",IF(G33&lt;H33-0.01,"Check chosen cost",IF(COUNT(E33:F33)&lt;2,"Route scored; time pending",IF(OR(E33&lt;0,F33&lt;0),"Check times","Complete"))))</x:f>
        <x:v>Awaiting route data</x:v>
      </x:c>
    </x:row>
    <x:row r="34" ht="26" customHeight="1">
      <x:c r="A34" s="11"/>
      <x:c r="B34" s="2" t="str">
        <x:v>M</x:v>
      </x:c>
      <x:c r="C34" s="2" t="str">
        <x:v>distance_m</x:v>
      </x:c>
      <x:c r="D34" s="11"/>
      <x:c r="E34" s="11"/>
      <x:c r="F34" s="11"/>
      <x:c r="G34" s="12"/>
      <x:c r="H34" s="7" t="n">
        <x:f>Results!B17</x:f>
        <x:v>779.5</x:v>
      </x:c>
      <x:c r="I34" s="13" t="str">
        <x:f>IF(OR(A34="",D34="",COUNT(G34)=0),"",IF(G34&lt;H34-0.01,"",(G34-H34)/H34))</x:f>
      </x:c>
      <x:c r="J34" s="2" t="str">
        <x:f>IF(OR(A34="",D34="",COUNT(G34)=0),"Awaiting route data",IF(G34&lt;H34-0.01,"Check chosen cost",IF(COUNT(E34:F34)&lt;2,"Route scored; time pending",IF(OR(E34&lt;0,F34&lt;0),"Check times","Complete"))))</x:f>
        <x:v>Awaiting route data</x:v>
      </x:c>
    </x:row>
    <x:row r="35" ht="26" customHeight="1">
      <x:c r="A35" s="11"/>
      <x:c r="B35" s="2" t="str">
        <x:v>M</x:v>
      </x:c>
      <x:c r="C35" s="2" t="str">
        <x:v>duration_s</x:v>
      </x:c>
      <x:c r="D35" s="11"/>
      <x:c r="E35" s="11"/>
      <x:c r="F35" s="11"/>
      <x:c r="G35" s="12"/>
      <x:c r="H35" s="7" t="n">
        <x:f>Results!C17</x:f>
        <x:v>64.5</x:v>
      </x:c>
      <x:c r="I35" s="13" t="str">
        <x:f>IF(OR(A35="",D35="",COUNT(G35)=0),"",IF(G35&lt;H35-0.01,"",(G35-H35)/H35))</x:f>
      </x:c>
      <x:c r="J35" s="2" t="str">
        <x:f>IF(OR(A35="",D35="",COUNT(G35)=0),"Awaiting route data",IF(G35&lt;H35-0.01,"Check chosen cost",IF(COUNT(E35:F35)&lt;2,"Route scored; time pending",IF(OR(E35&lt;0,F35&lt;0),"Check times","Complete"))))</x:f>
        <x:v>Awaiting route data</x:v>
      </x:c>
    </x:row>
    <x:row r="38">
      <x:c r="A38" t="str">
        <x:v>Path validation and automatic route-cost calculation are available in index.html and build_study.py.</x:v>
      </x:c>
    </x:row>
    <x:row r="39">
      <x:c r="A39" t="str">
        <x:v>This sheet scores the entered cost. It does not validate the text route; copy the validated cost from the explorer.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714285850524902" hidden="0" customWidth="1"/>
    <x:col min="2" max="2" width="17.14285659790039" hidden="0" customWidth="1"/>
    <x:col min="3" max="3" width="17.14285659790039" hidden="0" customWidth="1"/>
    <x:col min="4" max="4" width="17.14285659790039" hidden="0" customWidth="1"/>
    <x:col min="5" max="5" width="17.14285659790039" hidden="0" customWidth="1"/>
  </x:cols>
  <x:sheetData>
    <x:row r="2">
      <x:c r="A2" s="1" t="str">
        <x:v>Selected directed corridors</x:v>
      </x:c>
    </x:row>
    <x:row r="3">
      <x:c r="A3" s="15" t="str">
        <x:v>OSRM sources: data/study.json. Original costs 17 Oct; M added 20 Oct. Forward = first ID to second ID.</x:v>
      </x:c>
    </x:row>
    <x:row r="5" ht="34" customHeight="1">
      <x:c r="A5" s="5" t="str">
        <x:v>Pair</x:v>
      </x:c>
      <x:c r="B5" s="5" t="str">
        <x:v>Forward m</x:v>
      </x:c>
      <x:c r="C5" s="5" t="str">
        <x:v>Reverse m</x:v>
      </x:c>
      <x:c r="D5" s="5" t="str">
        <x:v>Forward s</x:v>
      </x:c>
      <x:c r="E5" s="5" t="str">
        <x:v>Reverse s</x:v>
      </x:c>
    </x:row>
    <x:row r="6" ht="26" customHeight="1">
      <x:c r="A6" s="2" t="str">
        <x:v>AB</x:v>
      </x:c>
      <x:c r="B6" s="7" t="n">
        <x:v>618.5</x:v>
      </x:c>
      <x:c r="C6" s="7" t="n">
        <x:v>250.7</x:v>
      </x:c>
      <x:c r="D6" s="7" t="n">
        <x:v>58.7</x:v>
      </x:c>
      <x:c r="E6" s="7" t="n">
        <x:v>28.8</x:v>
      </x:c>
    </x:row>
    <x:row r="7" ht="26" customHeight="1">
      <x:c r="A7" s="2" t="str">
        <x:v>AK</x:v>
      </x:c>
      <x:c r="B7" s="7" t="n">
        <x:v>829.9</x:v>
      </x:c>
      <x:c r="C7" s="7" t="n">
        <x:v>821.7</x:v>
      </x:c>
      <x:c r="D7" s="7" t="n">
        <x:v>83.3</x:v>
      </x:c>
      <x:c r="E7" s="7" t="n">
        <x:v>83.9</x:v>
      </x:c>
    </x:row>
    <x:row r="8" ht="26" customHeight="1">
      <x:c r="A8" s="2" t="str">
        <x:v>AG</x:v>
      </x:c>
      <x:c r="B8" s="7" t="n">
        <x:v>2053.7</x:v>
      </x:c>
      <x:c r="C8" s="7" t="n">
        <x:v>2358.6</x:v>
      </x:c>
      <x:c r="D8" s="7" t="n">
        <x:v>171.2</x:v>
      </x:c>
      <x:c r="E8" s="7" t="n">
        <x:v>179.8</x:v>
      </x:c>
    </x:row>
    <x:row r="9" ht="26" customHeight="1">
      <x:c r="A9" s="2" t="str">
        <x:v>BC</x:v>
      </x:c>
      <x:c r="B9" s="7" t="n">
        <x:v>878.5</x:v>
      </x:c>
      <x:c r="C9" s="7" t="n">
        <x:v>1400</x:v>
      </x:c>
      <x:c r="D9" s="7" t="n">
        <x:v>72.2</x:v>
      </x:c>
      <x:c r="E9" s="7" t="n">
        <x:v>121.6</x:v>
      </x:c>
    </x:row>
    <x:row r="10" ht="26" customHeight="1">
      <x:c r="A10" s="2" t="str">
        <x:v>BK</x:v>
      </x:c>
      <x:c r="B10" s="7" t="n">
        <x:v>624.2</x:v>
      </x:c>
      <x:c r="C10" s="7" t="n">
        <x:v>571</x:v>
      </x:c>
      <x:c r="D10" s="7" t="n">
        <x:v>59.1</x:v>
      </x:c>
      <x:c r="E10" s="7" t="n">
        <x:v>55.1</x:v>
      </x:c>
    </x:row>
    <x:row r="11" ht="26" customHeight="1">
      <x:c r="A11" s="2" t="str">
        <x:v>BJ</x:v>
      </x:c>
      <x:c r="B11" s="7" t="n">
        <x:v>1367.9</x:v>
      </x:c>
      <x:c r="C11" s="7" t="n">
        <x:v>953.2</x:v>
      </x:c>
      <x:c r="D11" s="7" t="n">
        <x:v>123.7</x:v>
      </x:c>
      <x:c r="E11" s="7" t="n">
        <x:v>71.1</x:v>
      </x:c>
    </x:row>
    <x:row r="12" ht="26" customHeight="1">
      <x:c r="A12" s="2" t="str">
        <x:v>CD</x:v>
      </x:c>
      <x:c r="B12" s="7" t="n">
        <x:v>1198</x:v>
      </x:c>
      <x:c r="C12" s="7" t="n">
        <x:v>2107</x:v>
      </x:c>
      <x:c r="D12" s="7" t="n">
        <x:v>85.8</x:v>
      </x:c>
      <x:c r="E12" s="7" t="n">
        <x:v>202.2</x:v>
      </x:c>
    </x:row>
    <x:row r="13" ht="26" customHeight="1">
      <x:c r="A13" s="2" t="str">
        <x:v>CJ</x:v>
      </x:c>
      <x:c r="B13" s="7" t="n">
        <x:v>1434.1</x:v>
      </x:c>
      <x:c r="C13" s="7" t="n">
        <x:v>1067.1</x:v>
      </x:c>
      <x:c r="D13" s="7" t="n">
        <x:v>118</x:v>
      </x:c>
      <x:c r="E13" s="7" t="n">
        <x:v>95</x:v>
      </x:c>
    </x:row>
    <x:row r="14" ht="26" customHeight="1">
      <x:c r="A14" s="2" t="str">
        <x:v>CL</x:v>
      </x:c>
      <x:c r="B14" s="7" t="n">
        <x:v>3110.9</x:v>
      </x:c>
      <x:c r="C14" s="7" t="n">
        <x:v>3370.4</x:v>
      </x:c>
      <x:c r="D14" s="7" t="n">
        <x:v>237.3</x:v>
      </x:c>
      <x:c r="E14" s="7" t="n">
        <x:v>307.5</x:v>
      </x:c>
    </x:row>
    <x:row r="15" ht="26" customHeight="1">
      <x:c r="A15" s="2" t="str">
        <x:v>DE</x:v>
      </x:c>
      <x:c r="B15" s="7" t="n">
        <x:v>2435.5</x:v>
      </x:c>
      <x:c r="C15" s="7" t="n">
        <x:v>2368.2</x:v>
      </x:c>
      <x:c r="D15" s="7" t="n">
        <x:v>234.8</x:v>
      </x:c>
      <x:c r="E15" s="7" t="n">
        <x:v>221.1</x:v>
      </x:c>
    </x:row>
    <x:row r="16" ht="26" customHeight="1">
      <x:c r="A16" s="2" t="str">
        <x:v>DL</x:v>
      </x:c>
      <x:c r="B16" s="7" t="n">
        <x:v>1996.7</x:v>
      </x:c>
      <x:c r="C16" s="7" t="n">
        <x:v>2072.5</x:v>
      </x:c>
      <x:c r="D16" s="7" t="n">
        <x:v>174.2</x:v>
      </x:c>
      <x:c r="E16" s="7" t="n">
        <x:v>195</x:v>
      </x:c>
    </x:row>
    <x:row r="17" ht="26" customHeight="1">
      <x:c r="A17" s="2" t="str">
        <x:v>EF</x:v>
      </x:c>
      <x:c r="B17" s="7" t="n">
        <x:v>771.2</x:v>
      </x:c>
      <x:c r="C17" s="7" t="n">
        <x:v>454.3</x:v>
      </x:c>
      <x:c r="D17" s="7" t="n">
        <x:v>68.3</x:v>
      </x:c>
      <x:c r="E17" s="7" t="n">
        <x:v>51.6</x:v>
      </x:c>
    </x:row>
    <x:row r="18" ht="26" customHeight="1">
      <x:c r="A18" s="2" t="str">
        <x:v>EG</x:v>
      </x:c>
      <x:c r="B18" s="7" t="n">
        <x:v>1571.5</x:v>
      </x:c>
      <x:c r="C18" s="7" t="n">
        <x:v>1131.8</x:v>
      </x:c>
      <x:c r="D18" s="7" t="n">
        <x:v>150.4</x:v>
      </x:c>
      <x:c r="E18" s="7" t="n">
        <x:v>109.8</x:v>
      </x:c>
    </x:row>
    <x:row r="19" ht="26" customHeight="1">
      <x:c r="A19" s="2" t="str">
        <x:v>EL</x:v>
      </x:c>
      <x:c r="B19" s="7" t="n">
        <x:v>2611.6</x:v>
      </x:c>
      <x:c r="C19" s="7" t="n">
        <x:v>2306</x:v>
      </x:c>
      <x:c r="D19" s="7" t="n">
        <x:v>229.4</x:v>
      </x:c>
      <x:c r="E19" s="7" t="n">
        <x:v>236</x:v>
      </x:c>
    </x:row>
    <x:row r="20" ht="26" customHeight="1">
      <x:c r="A20" s="2" t="str">
        <x:v>FG</x:v>
      </x:c>
      <x:c r="B20" s="7" t="n">
        <x:v>1228.6</x:v>
      </x:c>
      <x:c r="C20" s="7" t="n">
        <x:v>817.5</x:v>
      </x:c>
      <x:c r="D20" s="7" t="n">
        <x:v>119.4</x:v>
      </x:c>
      <x:c r="E20" s="7" t="n">
        <x:v>71.9</x:v>
      </x:c>
    </x:row>
    <x:row r="21" ht="26" customHeight="1">
      <x:c r="A21" s="2" t="str">
        <x:v>FH</x:v>
      </x:c>
      <x:c r="B21" s="7" t="n">
        <x:v>1974.3</x:v>
      </x:c>
      <x:c r="C21" s="7" t="n">
        <x:v>1974.9</x:v>
      </x:c>
      <x:c r="D21" s="7" t="n">
        <x:v>146.9</x:v>
      </x:c>
      <x:c r="E21" s="7" t="n">
        <x:v>182.7</x:v>
      </x:c>
    </x:row>
    <x:row r="22" ht="26" customHeight="1">
      <x:c r="A22" s="2" t="str">
        <x:v>GH</x:v>
      </x:c>
      <x:c r="B22" s="7" t="n">
        <x:v>1523.2</x:v>
      </x:c>
      <x:c r="C22" s="7" t="n">
        <x:v>1511.9</x:v>
      </x:c>
      <x:c r="D22" s="7" t="n">
        <x:v>120.5</x:v>
      </x:c>
      <x:c r="E22" s="7" t="n">
        <x:v>172.6</x:v>
      </x:c>
    </x:row>
    <x:row r="23" ht="26" customHeight="1">
      <x:c r="A23" s="2" t="str">
        <x:v>GI</x:v>
      </x:c>
      <x:c r="B23" s="7" t="n">
        <x:v>2196</x:v>
      </x:c>
      <x:c r="C23" s="7" t="n">
        <x:v>1850.1</x:v>
      </x:c>
      <x:c r="D23" s="7" t="n">
        <x:v>173.8</x:v>
      </x:c>
      <x:c r="E23" s="7" t="n">
        <x:v>174.4</x:v>
      </x:c>
    </x:row>
    <x:row r="24" ht="26" customHeight="1">
      <x:c r="A24" s="2" t="str">
        <x:v>HI</x:v>
      </x:c>
      <x:c r="B24" s="7" t="n">
        <x:v>2657.1</x:v>
      </x:c>
      <x:c r="C24" s="7" t="n">
        <x:v>2137</x:v>
      </x:c>
      <x:c r="D24" s="7" t="n">
        <x:v>245</x:v>
      </x:c>
      <x:c r="E24" s="7" t="n">
        <x:v>160.3</x:v>
      </x:c>
    </x:row>
    <x:row r="25" ht="26" customHeight="1">
      <x:c r="A25" s="2" t="str">
        <x:v>IK</x:v>
      </x:c>
      <x:c r="B25" s="7" t="n">
        <x:v>1227.2</x:v>
      </x:c>
      <x:c r="C25" s="7" t="n">
        <x:v>1648.3</x:v>
      </x:c>
      <x:c r="D25" s="7" t="n">
        <x:v>141.1</x:v>
      </x:c>
      <x:c r="E25" s="7" t="n">
        <x:v>157.1</x:v>
      </x:c>
    </x:row>
    <x:row r="26" ht="26" customHeight="1">
      <x:c r="A26" s="2" t="str">
        <x:v>IJ</x:v>
      </x:c>
      <x:c r="B26" s="7" t="n">
        <x:v>1959</x:v>
      </x:c>
      <x:c r="C26" s="7" t="n">
        <x:v>2465</x:v>
      </x:c>
      <x:c r="D26" s="7" t="n">
        <x:v>164.6</x:v>
      </x:c>
      <x:c r="E26" s="7" t="n">
        <x:v>189.7</x:v>
      </x:c>
    </x:row>
    <x:row r="27" ht="26" customHeight="1">
      <x:c r="A27" s="2" t="str">
        <x:v>JK</x:v>
      </x:c>
      <x:c r="B27" s="7" t="n">
        <x:v>1164.6</x:v>
      </x:c>
      <x:c r="C27" s="7" t="n">
        <x:v>1017.4</x:v>
      </x:c>
      <x:c r="D27" s="7" t="n">
        <x:v>103.8</x:v>
      </x:c>
      <x:c r="E27" s="7" t="n">
        <x:v>108.6</x:v>
      </x:c>
    </x:row>
    <x:row r="28" ht="26" customHeight="1">
      <x:c r="A28" s="2" t="str">
        <x:v>AM</x:v>
      </x:c>
      <x:c r="B28" s="7" t="n">
        <x:v>779.5</x:v>
      </x:c>
      <x:c r="C28" s="7" t="n">
        <x:v>227</x:v>
      </x:c>
      <x:c r="D28" s="7" t="n">
        <x:v>64.5</x:v>
      </x:c>
      <x:c r="E28" s="7" t="n">
        <x:v>29.9</x:v>
      </x:c>
    </x:row>
    <x:row r="29" ht="26" customHeight="1">
      <x:c r="A29" s="2" t="str">
        <x:v>BM</x:v>
      </x:c>
      <x:c r="B29" s="7" t="n">
        <x:v>702.9</x:v>
      </x:c>
      <x:c r="C29" s="7" t="n">
        <x:v>541.3</x:v>
      </x:c>
      <x:c r="D29" s="7" t="n">
        <x:v>45.9</x:v>
      </x:c>
      <x:c r="E29" s="7" t="n">
        <x:v>36.6</x:v>
      </x:c>
    </x:row>
    <x:row r="30" ht="26" customHeight="1">
      <x:c r="A30" s="2" t="str">
        <x:v>KM</x:v>
      </x:c>
      <x:c r="B30" s="7" t="n">
        <x:v>1273.9</x:v>
      </x:c>
      <x:c r="C30" s="7" t="n">
        <x:v>752.8</x:v>
      </x:c>
      <x:c r="D30" s="7" t="n">
        <x:v>101</x:v>
      </x:c>
      <x:c r="E30" s="7" t="n">
        <x:v>61.2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.4285712242126465" hidden="0" customWidth="1"/>
    <x:col min="2" max="2" width="35" hidden="0" customWidth="1"/>
    <x:col min="3" max="3" width="17.85714340209961" hidden="0" customWidth="1"/>
    <x:col min="4" max="4" width="17.85714340209961" hidden="0" customWidth="1"/>
    <x:col min="5" max="5" width="17.85714340209961" hidden="0" customWidth="1"/>
    <x:col min="6" max="6" width="17.85714340209961" hidden="0" customWidth="1"/>
    <x:col min="7" max="7" width="12.857142448425293" hidden="0" customWidth="1"/>
    <x:col min="8" max="8" width="18.571428298950195" hidden="0" customWidth="1"/>
    <x:col min="9" max="9" width="51.42856979370117" hidden="0" customWidth="1"/>
  </x:cols>
  <x:sheetData>
    <x:row r="2">
      <x:c r="A2" s="1" t="str">
        <x:v>Mapped locations and road-reference offsets</x:v>
      </x:c>
    </x:row>
    <x:row r="3">
      <x:c r="A3" s="15" t="str">
        <x:v>Source: OpenStreetMap/Nominatim. Road references are OSRM snaps; building entrances are not verified. Source query URLs: data/locations.csv.</x:v>
      </x:c>
    </x:row>
    <x:row r="5" ht="34" customHeight="1">
      <x:c r="A5" s="5" t="str">
        <x:v>ID</x:v>
      </x:c>
      <x:c r="B5" s="5" t="str">
        <x:v>Location</x:v>
      </x:c>
      <x:c r="C5" s="5" t="str">
        <x:v>Mapped latitude</x:v>
      </x:c>
      <x:c r="D5" s="5" t="str">
        <x:v>Mapped longitude</x:v>
      </x:c>
      <x:c r="E5" s="5" t="str">
        <x:v>Road latitude</x:v>
      </x:c>
      <x:c r="F5" s="5" t="str">
        <x:v>Road longitude</x:v>
      </x:c>
      <x:c r="G5" s="5" t="str">
        <x:v>Snap m</x:v>
      </x:c>
      <x:c r="H5" s="5" t="str">
        <x:v>Mapped feature</x:v>
      </x:c>
      <x:c r="I5" s="5" t="str">
        <x:v>OSM source</x:v>
      </x:c>
    </x:row>
    <x:row r="6" ht="26" customHeight="1">
      <x:c r="A6" s="2" t="str">
        <x:v>A</x:v>
      </x:c>
      <x:c r="B6" s="2" t="str">
        <x:v>JAIN University (source)</x:v>
      </x:c>
      <x:c r="C6" s="14" t="n">
        <x:v>12.9181257</x:v>
      </x:c>
      <x:c r="D6" s="14" t="n">
        <x:v>77.5918744</x:v>
      </x:c>
      <x:c r="E6" s="14" t="n">
        <x:v>12.918222</x:v>
      </x:c>
      <x:c r="F6" s="14" t="n">
        <x:v>77.592131</x:v>
      </x:c>
      <x:c r="G6" s="7" t="n">
        <x:v>29.84269995</x:v>
      </x:c>
      <x:c r="H6" s="2" t="str">
        <x:v>university</x:v>
      </x:c>
      <x:c r="I6" s="2" t="str">
        <x:v>https://www.openstreetmap.org/way/164569256</x:v>
      </x:c>
    </x:row>
    <x:row r="7" ht="26" customHeight="1">
      <x:c r="A7" s="2" t="str">
        <x:v>B</x:v>
      </x:c>
      <x:c r="B7" s="2" t="str">
        <x:v>Ragigudda bus stop</x:v>
      </x:c>
      <x:c r="C7" s="14" t="n">
        <x:v>12.9167987</x:v>
      </x:c>
      <x:c r="D7" s="14" t="n">
        <x:v>77.5933846</x:v>
      </x:c>
      <x:c r="E7" s="14" t="n">
        <x:v>12.916836</x:v>
      </x:c>
      <x:c r="F7" s="14" t="n">
        <x:v>77.593386</x:v>
      </x:c>
      <x:c r="G7" s="7" t="n">
        <x:v>4.094742648</x:v>
      </x:c>
      <x:c r="H7" s="2" t="str">
        <x:v>bus_stop</x:v>
      </x:c>
      <x:c r="I7" s="2" t="str">
        <x:v>https://www.openstreetmap.org/node/6495482465</x:v>
      </x:c>
    </x:row>
    <x:row r="8" ht="26" customHeight="1">
      <x:c r="A8" s="2" t="str">
        <x:v>C</x:v>
      </x:c>
      <x:c r="B8" s="2" t="str">
        <x:v>Jayadeva hospital</x:v>
      </x:c>
      <x:c r="C8" s="14" t="n">
        <x:v>12.9181171</x:v>
      </x:c>
      <x:c r="D8" s="14" t="n">
        <x:v>77.5992404</x:v>
      </x:c>
      <x:c r="E8" s="14" t="n">
        <x:v>12.918103</x:v>
      </x:c>
      <x:c r="F8" s="14" t="n">
        <x:v>77.599899</x:v>
      </x:c>
      <x:c r="G8" s="7" t="n">
        <x:v>71.52963109</x:v>
      </x:c>
      <x:c r="H8" s="2" t="str">
        <x:v>hospital</x:v>
      </x:c>
      <x:c r="I8" s="2" t="str">
        <x:v>https://www.openstreetmap.org/way/40678727</x:v>
      </x:c>
    </x:row>
    <x:row r="9" ht="26" customHeight="1">
      <x:c r="A9" s="2" t="str">
        <x:v>D</x:v>
      </x:c>
      <x:c r="B9" s="2" t="str">
        <x:v>Sagar Hospitals</x:v>
      </x:c>
      <x:c r="C9" s="14" t="n">
        <x:v>12.927948</x:v>
      </x:c>
      <x:c r="D9" s="14" t="n">
        <x:v>77.5998498</x:v>
      </x:c>
      <x:c r="E9" s="14" t="n">
        <x:v>12.927949</x:v>
      </x:c>
      <x:c r="F9" s="14" t="n">
        <x:v>77.600233</x:v>
      </x:c>
      <x:c r="G9" s="7" t="n">
        <x:v>41.56225006</x:v>
      </x:c>
      <x:c r="H9" s="2" t="str">
        <x:v>hospital</x:v>
      </x:c>
      <x:c r="I9" s="2" t="str">
        <x:v>https://www.openstreetmap.org/way/442048030</x:v>
      </x:c>
    </x:row>
    <x:row r="10" ht="26" customHeight="1">
      <x:c r="A10" s="2" t="str">
        <x:v>E</x:v>
      </x:c>
      <x:c r="B10" s="2" t="str">
        <x:v>Jayanagar TTMC</x:v>
      </x:c>
      <x:c r="C10" s="14" t="n">
        <x:v>12.9281714</x:v>
      </x:c>
      <x:c r="D10" s="14" t="n">
        <x:v>77.5838685</x:v>
      </x:c>
      <x:c r="E10" s="14" t="n">
        <x:v>12.928193</x:v>
      </x:c>
      <x:c r="F10" s="14" t="n">
        <x:v>77.583869</x:v>
      </x:c>
      <x:c r="G10" s="7" t="n">
        <x:v>2.433856703</x:v>
      </x:c>
      <x:c r="H10" s="2" t="str">
        <x:v>bus_station</x:v>
      </x:c>
      <x:c r="I10" s="2" t="str">
        <x:v>https://www.openstreetmap.org/way/752917438</x:v>
      </x:c>
    </x:row>
    <x:row r="11" ht="26" customHeight="1">
      <x:c r="A11" s="2" t="str">
        <x:v>F</x:v>
      </x:c>
      <x:c r="B11" s="2" t="str">
        <x:v>Jayanagar metro bus stop</x:v>
      </x:c>
      <x:c r="C11" s="14" t="n">
        <x:v>12.9287715</x:v>
      </x:c>
      <x:c r="D11" s="14" t="n">
        <x:v>77.580345</x:v>
      </x:c>
      <x:c r="E11" s="14" t="n">
        <x:v>12.928738</x:v>
      </x:c>
      <x:c r="F11" s="14" t="n">
        <x:v>77.580345</x:v>
      </x:c>
      <x:c r="G11" s="7" t="n">
        <x:v>3.761414905</x:v>
      </x:c>
      <x:c r="H11" s="2" t="str">
        <x:v>bus_stop</x:v>
      </x:c>
      <x:c r="I11" s="2" t="str">
        <x:v>https://www.openstreetmap.org/node/12462601105</x:v>
      </x:c>
    </x:row>
    <x:row r="12" ht="26" customHeight="1">
      <x:c r="A12" s="2" t="str">
        <x:v>G</x:v>
      </x:c>
      <x:c r="B12" s="2" t="str">
        <x:v>RV Road station reference</x:v>
      </x:c>
      <x:c r="C12" s="14" t="n">
        <x:v>12.9219877</x:v>
      </x:c>
      <x:c r="D12" s="14" t="n">
        <x:v>77.5800465</x:v>
      </x:c>
      <x:c r="E12" s="14" t="n">
        <x:v>12.921988</x:v>
      </x:c>
      <x:c r="F12" s="14" t="n">
        <x:v>77.58011</x:v>
      </x:c>
      <x:c r="G12" s="7" t="n">
        <x:v>6.836586105</x:v>
      </x:c>
      <x:c r="H12" s="2" t="str">
        <x:v>stop</x:v>
      </x:c>
      <x:c r="I12" s="2" t="str">
        <x:v>https://www.openstreetmap.org/node/13046011008</x:v>
      </x:c>
    </x:row>
    <x:row r="13" ht="26" customHeight="1">
      <x:c r="A13" s="2" t="str">
        <x:v>H</x:v>
      </x:c>
      <x:c r="B13" s="2" t="str">
        <x:v>Banashankari bus stop</x:v>
      </x:c>
      <x:c r="C13" s="14" t="n">
        <x:v>12.9166305</x:v>
      </x:c>
      <x:c r="D13" s="14" t="n">
        <x:v>77.5730685</x:v>
      </x:c>
      <x:c r="E13" s="14" t="n">
        <x:v>12.916666</x:v>
      </x:c>
      <x:c r="F13" s="14" t="n">
        <x:v>77.573057</x:v>
      </x:c>
      <x:c r="G13" s="7" t="n">
        <x:v>4.085152792</x:v>
      </x:c>
      <x:c r="H13" s="2" t="str">
        <x:v>bus_stop</x:v>
      </x:c>
      <x:c r="I13" s="2" t="str">
        <x:v>https://www.openstreetmap.org/node/1070314214</x:v>
      </x:c>
    </x:row>
    <x:row r="14" ht="26" customHeight="1">
      <x:c r="A14" s="2" t="str">
        <x:v>I</x:v>
      </x:c>
      <x:c r="B14" s="2" t="str">
        <x:v>Ranga Shankara</x:v>
      </x:c>
      <x:c r="C14" s="14" t="n">
        <x:v>12.9116079</x:v>
      </x:c>
      <x:c r="D14" s="14" t="n">
        <x:v>77.58708</x:v>
      </x:c>
      <x:c r="E14" s="14" t="n">
        <x:v>12.911616</x:v>
      </x:c>
      <x:c r="F14" s="14" t="n">
        <x:v>77.586862</x:v>
      </x:c>
      <x:c r="G14" s="7" t="n">
        <x:v>23.67330787</x:v>
      </x:c>
      <x:c r="H14" s="2" t="str">
        <x:v>theatre</x:v>
      </x:c>
      <x:c r="I14" s="2" t="str">
        <x:v>https://www.openstreetmap.org/node/1732931230</x:v>
      </x:c>
    </x:row>
    <x:row r="15" ht="26" customHeight="1">
      <x:c r="A15" s="2" t="str">
        <x:v>J</x:v>
      </x:c>
      <x:c r="B15" s="2" t="str">
        <x:v>Gopalan Innovation Mall</x:v>
      </x:c>
      <x:c r="C15" s="14" t="n">
        <x:v>12.9143393</x:v>
      </x:c>
      <x:c r="D15" s="14" t="n">
        <x:v>77.5994538</x:v>
      </x:c>
      <x:c r="E15" s="14" t="n">
        <x:v>12.91435</x:v>
      </x:c>
      <x:c r="F15" s="14" t="n">
        <x:v>77.599821</x:v>
      </x:c>
      <x:c r="G15" s="7" t="n">
        <x:v>39.84441504</x:v>
      </x:c>
      <x:c r="H15" s="2" t="str">
        <x:v>mall</x:v>
      </x:c>
      <x:c r="I15" s="2" t="str">
        <x:v>https://www.openstreetmap.org/way/118923756</x:v>
      </x:c>
    </x:row>
    <x:row r="16" ht="26" customHeight="1">
      <x:c r="A16" s="2" t="str">
        <x:v>K</x:v>
      </x:c>
      <x:c r="B16" s="2" t="str">
        <x:v>Ragigudda Temple</x:v>
      </x:c>
      <x:c r="C16" s="14" t="n">
        <x:v>12.9141893</x:v>
      </x:c>
      <x:c r="D16" s="14" t="n">
        <x:v>77.5933299</x:v>
      </x:c>
      <x:c r="E16" s="14" t="n">
        <x:v>12.913976</x:v>
      </x:c>
      <x:c r="F16" s="14" t="n">
        <x:v>77.59391</x:v>
      </x:c>
      <x:c r="G16" s="7" t="n">
        <x:v>67.20649542</x:v>
      </x:c>
      <x:c r="H16" s="2" t="str">
        <x:v>place_of_worship</x:v>
      </x:c>
      <x:c r="I16" s="2" t="str">
        <x:v>https://www.openstreetmap.org/node/362539259</x:v>
      </x:c>
    </x:row>
    <x:row r="17" ht="26" customHeight="1">
      <x:c r="A17" s="2" t="str">
        <x:v>L</x:v>
      </x:c>
      <x:c r="B17" s="2" t="str">
        <x:v>NIMHANS hospital reference</x:v>
      </x:c>
      <x:c r="C17" s="14" t="n">
        <x:v>12.9386321</x:v>
      </x:c>
      <x:c r="D17" s="14" t="n">
        <x:v>77.5944105</x:v>
      </x:c>
      <x:c r="E17" s="14" t="n">
        <x:v>12.938519</x:v>
      </x:c>
      <x:c r="F17" s="14" t="n">
        <x:v>77.592567</x:v>
      </x:c>
      <x:c r="G17" s="7" t="n">
        <x:v>200.4959016</x:v>
      </x:c>
      <x:c r="H17" s="2" t="str">
        <x:v>hospital</x:v>
      </x:c>
      <x:c r="I17" s="2" t="str">
        <x:v>https://www.openstreetmap.org/node/6938777910</x:v>
      </x:c>
    </x:row>
    <x:row r="18" ht="26" customHeight="1">
      <x:c r="A18" s="2" t="str">
        <x:v>M</x:v>
      </x:c>
      <x:c r="B18" s="2" t="str">
        <x:v>Manipal Hospital, Jayanagar</x:v>
      </x:c>
      <x:c r="C18" s="14" t="n">
        <x:v>12.9171534</x:v>
      </x:c>
      <x:c r="D18" s="14" t="n">
        <x:v>77.5919041</x:v>
      </x:c>
      <x:c r="E18" s="14" t="n">
        <x:v>12.916965</x:v>
      </x:c>
      <x:c r="F18" s="14" t="n">
        <x:v>77.591897</x:v>
      </x:c>
      <x:c r="G18" s="7" t="n">
        <x:v>20.81227902</x:v>
      </x:c>
      <x:c r="H18" s="2" t="str">
        <x:v>hospital</x:v>
      </x:c>
      <x:c r="I18" s="2" t="str">
        <x:v>https://www.openstreetmap.org/way/632086875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2857551574707" hidden="0" customWidth="1"/>
    <x:col min="2" max="2" width="12.142857551574707" hidden="0" customWidth="1"/>
    <x:col min="3" max="3" width="12.142857551574707" hidden="0" customWidth="1"/>
    <x:col min="4" max="4" width="12.142857551574707" hidden="0" customWidth="1"/>
    <x:col min="5" max="5" width="12.142857551574707" hidden="0" customWidth="1"/>
    <x:col min="6" max="6" width="12.142857551574707" hidden="0" customWidth="1"/>
    <x:col min="7" max="7" width="12.142857551574707" hidden="0" customWidth="1"/>
    <x:col min="8" max="8" width="12.142857551574707" hidden="0" customWidth="1"/>
    <x:col min="9" max="9" width="12.142857551574707" hidden="0" customWidth="1"/>
    <x:col min="10" max="10" width="12.142857551574707" hidden="0" customWidth="1"/>
    <x:col min="11" max="11" width="12.142857551574707" hidden="0" customWidth="1"/>
    <x:col min="12" max="12" width="12.142857551574707" hidden="0" customWidth="1"/>
    <x:col min="13" max="13" width="12.142857551574707" hidden="0" customWidth="1"/>
    <x:col min="14" max="14" width="12.142857551574707" hidden="0" customWidth="1"/>
  </x:cols>
  <x:sheetData>
    <x:row r="2">
      <x:c r="A2" t="str">
        <x:v>OSRM all-pairs distances (metres)</x:v>
      </x:c>
    </x:row>
    <x:row r="3">
      <x:c r="A3" s="15" t="str">
        <x:v>Distances are along OSRM profile-selected routes, not guaranteed minimum-distance street paths. Source request: data/study.json.</x:v>
      </x:c>
    </x:row>
    <x:row r="5" ht="25" customHeight="1">
      <x:c r="A5" s="4" t="str">
        <x:v>From / to</x:v>
      </x:c>
      <x:c r="B5" s="4" t="str">
        <x:v>A</x:v>
      </x:c>
      <x:c r="C5" s="4" t="str">
        <x:v>B</x:v>
      </x:c>
      <x:c r="D5" s="4" t="str">
        <x:v>C</x:v>
      </x:c>
      <x:c r="E5" s="4" t="str">
        <x:v>D</x:v>
      </x:c>
      <x:c r="F5" s="4" t="str">
        <x:v>E</x:v>
      </x:c>
      <x:c r="G5" s="4" t="str">
        <x:v>F</x:v>
      </x:c>
      <x:c r="H5" s="4" t="str">
        <x:v>G</x:v>
      </x:c>
      <x:c r="I5" s="4" t="str">
        <x:v>H</x:v>
      </x:c>
      <x:c r="J5" s="4" t="str">
        <x:v>I</x:v>
      </x:c>
      <x:c r="K5" s="4" t="str">
        <x:v>J</x:v>
      </x:c>
      <x:c r="L5" s="4" t="str">
        <x:v>K</x:v>
      </x:c>
      <x:c r="M5" s="4" t="str">
        <x:v>L</x:v>
      </x:c>
      <x:c r="N5" s="4" t="str">
        <x:v>M</x:v>
      </x:c>
    </x:row>
    <x:row r="6" ht="25" customHeight="1">
      <x:c r="A6" s="2" t="str">
        <x:v>A</x:v>
      </x:c>
      <x:c r="B6" s="7" t="n">
        <x:v>0</x:v>
      </x:c>
      <x:c r="C6" s="7" t="n">
        <x:v>618.5</x:v>
      </x:c>
      <x:c r="D6" s="7" t="n">
        <x:v>1084.2</x:v>
      </x:c>
      <x:c r="E6" s="7" t="n">
        <x:v>2282.3</x:v>
      </x:c>
      <x:c r="F6" s="7" t="n">
        <x:v>2523.3</x:v>
      </x:c>
      <x:c r="G6" s="7" t="n">
        <x:v>2824.1</x:v>
      </x:c>
      <x:c r="H6" s="7" t="n">
        <x:v>2053.7</x:v>
      </x:c>
      <x:c r="I6" s="7" t="n">
        <x:v>2340.6</x:v>
      </x:c>
      <x:c r="J6" s="7" t="n">
        <x:v>1588.4</x:v>
      </x:c>
      <x:c r="K6" s="7" t="n">
        <x:v>1573.6</x:v>
      </x:c>
      <x:c r="L6" s="7" t="n">
        <x:v>829.9</x:v>
      </x:c>
      <x:c r="M6" s="7" t="n">
        <x:v>2496.1</x:v>
      </x:c>
      <x:c r="N6" s="7" t="n">
        <x:v>779.5</x:v>
      </x:c>
    </x:row>
    <x:row r="7" ht="25" customHeight="1">
      <x:c r="A7" s="2" t="str">
        <x:v>B</x:v>
      </x:c>
      <x:c r="B7" s="7" t="n">
        <x:v>250.7</x:v>
      </x:c>
      <x:c r="C7" s="7" t="n">
        <x:v>0</x:v>
      </x:c>
      <x:c r="D7" s="7" t="n">
        <x:v>878.5</x:v>
      </x:c>
      <x:c r="E7" s="7" t="n">
        <x:v>2076.6</x:v>
      </x:c>
      <x:c r="F7" s="7" t="n">
        <x:v>2446.7</x:v>
      </x:c>
      <x:c r="G7" s="7" t="n">
        <x:v>2747.5</x:v>
      </x:c>
      <x:c r="H7" s="7" t="n">
        <x:v>1977.1</x:v>
      </x:c>
      <x:c r="I7" s="7" t="n">
        <x:v>2264</x:v>
      </x:c>
      <x:c r="J7" s="7" t="n">
        <x:v>1511.8</x:v>
      </x:c>
      <x:c r="K7" s="7" t="n">
        <x:v>1367.9</x:v>
      </x:c>
      <x:c r="L7" s="7" t="n">
        <x:v>624.2</x:v>
      </x:c>
      <x:c r="M7" s="7" t="n">
        <x:v>2633.6</x:v>
      </x:c>
      <x:c r="N7" s="7" t="n">
        <x:v>702.9</x:v>
      </x:c>
    </x:row>
    <x:row r="8" ht="25" customHeight="1">
      <x:c r="A8" s="2" t="str">
        <x:v>C</x:v>
      </x:c>
      <x:c r="B8" s="7" t="n">
        <x:v>1387.8</x:v>
      </x:c>
      <x:c r="C8" s="7" t="n">
        <x:v>1400</x:v>
      </x:c>
      <x:c r="D8" s="7" t="n">
        <x:v>0</x:v>
      </x:c>
      <x:c r="E8" s="7" t="n">
        <x:v>1198</x:v>
      </x:c>
      <x:c r="F8" s="7" t="n">
        <x:v>3030.4</x:v>
      </x:c>
      <x:c r="G8" s="7" t="n">
        <x:v>3324.8</x:v>
      </x:c>
      <x:c r="H8" s="7" t="n">
        <x:v>3377.1</x:v>
      </x:c>
      <x:c r="I8" s="7" t="n">
        <x:v>3664</x:v>
      </x:c>
      <x:c r="J8" s="7" t="n">
        <x:v>2587.3</x:v>
      </x:c>
      <x:c r="K8" s="7" t="n">
        <x:v>1434.1</x:v>
      </x:c>
      <x:c r="L8" s="7" t="n">
        <x:v>1615.8</x:v>
      </x:c>
      <x:c r="M8" s="7" t="n">
        <x:v>3110.9</x:v>
      </x:c>
      <x:c r="N8" s="7" t="n">
        <x:v>2102.8</x:v>
      </x:c>
    </x:row>
    <x:row r="9" ht="25" customHeight="1">
      <x:c r="A9" s="2" t="str">
        <x:v>D</x:v>
      </x:c>
      <x:c r="B9" s="7" t="n">
        <x:v>2024.2</x:v>
      </x:c>
      <x:c r="C9" s="7" t="n">
        <x:v>2035.7</x:v>
      </x:c>
      <x:c r="D9" s="7" t="n">
        <x:v>2107</x:v>
      </x:c>
      <x:c r="E9" s="7" t="n">
        <x:v>0</x:v>
      </x:c>
      <x:c r="F9" s="7" t="n">
        <x:v>2435.5</x:v>
      </x:c>
      <x:c r="G9" s="7" t="n">
        <x:v>2724</x:v>
      </x:c>
      <x:c r="H9" s="7" t="n">
        <x:v>3403.2</x:v>
      </x:c>
      <x:c r="I9" s="7" t="n">
        <x:v>4304.2</x:v>
      </x:c>
      <x:c r="J9" s="7" t="n">
        <x:v>3552</x:v>
      </x:c>
      <x:c r="K9" s="7" t="n">
        <x:v>2547.3</x:v>
      </x:c>
      <x:c r="L9" s="7" t="n">
        <x:v>2247.9</x:v>
      </x:c>
      <x:c r="M9" s="7" t="n">
        <x:v>1996.7</x:v>
      </x:c>
      <x:c r="N9" s="7" t="n">
        <x:v>2700.8</x:v>
      </x:c>
    </x:row>
    <x:row r="10" ht="25" customHeight="1">
      <x:c r="A10" s="2" t="str">
        <x:v>E</x:v>
      </x:c>
      <x:c r="B10" s="7" t="n">
        <x:v>2376.3</x:v>
      </x:c>
      <x:c r="C10" s="7" t="n">
        <x:v>2690.7</x:v>
      </x:c>
      <x:c r="D10" s="7" t="n">
        <x:v>3156.4</x:v>
      </x:c>
      <x:c r="E10" s="7" t="n">
        <x:v>2368.2</x:v>
      </x:c>
      <x:c r="F10" s="7" t="n">
        <x:v>0</x:v>
      </x:c>
      <x:c r="G10" s="7" t="n">
        <x:v>771.2</x:v>
      </x:c>
      <x:c r="H10" s="7" t="n">
        <x:v>1571.5</x:v>
      </x:c>
      <x:c r="I10" s="7" t="n">
        <x:v>2470.5</x:v>
      </x:c>
      <x:c r="J10" s="7" t="n">
        <x:v>2198.4</x:v>
      </x:c>
      <x:c r="K10" s="7" t="n">
        <x:v>3645.8</x:v>
      </x:c>
      <x:c r="L10" s="7" t="n">
        <x:v>2902.1</x:v>
      </x:c>
      <x:c r="M10" s="7" t="n">
        <x:v>2611.6</x:v>
      </x:c>
      <x:c r="N10" s="7" t="n">
        <x:v>2149.3</x:v>
      </x:c>
    </x:row>
    <x:row r="11" ht="25" customHeight="1">
      <x:c r="A11" s="2" t="str">
        <x:v>F</x:v>
      </x:c>
      <x:c r="B11" s="7" t="n">
        <x:v>2775.5</x:v>
      </x:c>
      <x:c r="C11" s="7" t="n">
        <x:v>3089.9</x:v>
      </x:c>
      <x:c r="D11" s="7" t="n">
        <x:v>3555.6</x:v>
      </x:c>
      <x:c r="E11" s="7" t="n">
        <x:v>2783.9</x:v>
      </x:c>
      <x:c r="F11" s="7" t="n">
        <x:v>454.3</x:v>
      </x:c>
      <x:c r="G11" s="7" t="n">
        <x:v>0</x:v>
      </x:c>
      <x:c r="H11" s="7" t="n">
        <x:v>1228.6</x:v>
      </x:c>
      <x:c r="I11" s="7" t="n">
        <x:v>1974.3</x:v>
      </x:c>
      <x:c r="J11" s="7" t="n">
        <x:v>2612.9</x:v>
      </x:c>
      <x:c r="K11" s="7" t="n">
        <x:v>4045</x:v>
      </x:c>
      <x:c r="L11" s="7" t="n">
        <x:v>3301.3</x:v>
      </x:c>
      <x:c r="M11" s="7" t="n">
        <x:v>2595.5</x:v>
      </x:c>
      <x:c r="N11" s="7" t="n">
        <x:v>2548.5</x:v>
      </x:c>
    </x:row>
    <x:row r="12" ht="25" customHeight="1">
      <x:c r="A12" s="2" t="str">
        <x:v>G</x:v>
      </x:c>
      <x:c r="B12" s="7" t="n">
        <x:v>2358.6</x:v>
      </x:c>
      <x:c r="C12" s="7" t="n">
        <x:v>2673</x:v>
      </x:c>
      <x:c r="D12" s="7" t="n">
        <x:v>3138.8</x:v>
      </x:c>
      <x:c r="E12" s="7" t="n">
        <x:v>3012.9</x:v>
      </x:c>
      <x:c r="F12" s="7" t="n">
        <x:v>1131.8</x:v>
      </x:c>
      <x:c r="G12" s="7" t="n">
        <x:v>817.5</x:v>
      </x:c>
      <x:c r="H12" s="7" t="n">
        <x:v>0</x:v>
      </x:c>
      <x:c r="I12" s="7" t="n">
        <x:v>1523.2</x:v>
      </x:c>
      <x:c r="J12" s="7" t="n">
        <x:v>2196</x:v>
      </x:c>
      <x:c r="K12" s="7" t="n">
        <x:v>3628.1</x:v>
      </x:c>
      <x:c r="L12" s="7" t="n">
        <x:v>2884.4</x:v>
      </x:c>
      <x:c r="M12" s="7" t="n">
        <x:v>3273</x:v>
      </x:c>
      <x:c r="N12" s="7" t="n">
        <x:v>2131.7</x:v>
      </x:c>
    </x:row>
    <x:row r="13" ht="25" customHeight="1">
      <x:c r="A13" s="2" t="str">
        <x:v>H</x:v>
      </x:c>
      <x:c r="B13" s="7" t="n">
        <x:v>2471.7</x:v>
      </x:c>
      <x:c r="C13" s="7" t="n">
        <x:v>2786.1</x:v>
      </x:c>
      <x:c r="D13" s="7" t="n">
        <x:v>3251.8</x:v>
      </x:c>
      <x:c r="E13" s="7" t="n">
        <x:v>4449.8</x:v>
      </x:c>
      <x:c r="F13" s="7" t="n">
        <x:v>2289.2</x:v>
      </x:c>
      <x:c r="G13" s="7" t="n">
        <x:v>1974.9</x:v>
      </x:c>
      <x:c r="H13" s="7" t="n">
        <x:v>1511.9</x:v>
      </x:c>
      <x:c r="I13" s="7" t="n">
        <x:v>0</x:v>
      </x:c>
      <x:c r="J13" s="7" t="n">
        <x:v>2657.1</x:v>
      </x:c>
      <x:c r="K13" s="7" t="n">
        <x:v>3741.2</x:v>
      </x:c>
      <x:c r="L13" s="7" t="n">
        <x:v>2997.5</x:v>
      </x:c>
      <x:c r="M13" s="7" t="n">
        <x:v>4581.2</x:v>
      </x:c>
      <x:c r="N13" s="7" t="n">
        <x:v>2244.7</x:v>
      </x:c>
    </x:row>
    <x:row r="14" ht="25" customHeight="1">
      <x:c r="A14" s="2" t="str">
        <x:v>I</x:v>
      </x:c>
      <x:c r="B14" s="7" t="n">
        <x:v>2078.2</x:v>
      </x:c>
      <x:c r="C14" s="7" t="n">
        <x:v>1925.9</x:v>
      </x:c>
      <x:c r="D14" s="7" t="n">
        <x:v>2424.4</x:v>
      </x:c>
      <x:c r="E14" s="7" t="n">
        <x:v>3572.6</x:v>
      </x:c>
      <x:c r="F14" s="7" t="n">
        <x:v>2319.6</x:v>
      </x:c>
      <x:c r="G14" s="7" t="n">
        <x:v>2616.5</x:v>
      </x:c>
      <x:c r="H14" s="7" t="n">
        <x:v>1850.1</x:v>
      </x:c>
      <x:c r="I14" s="7" t="n">
        <x:v>2137</x:v>
      </x:c>
      <x:c r="J14" s="7" t="n">
        <x:v>0</x:v>
      </x:c>
      <x:c r="K14" s="7" t="n">
        <x:v>1959</x:v>
      </x:c>
      <x:c r="L14" s="7" t="n">
        <x:v>1227.2</x:v>
      </x:c>
      <x:c r="M14" s="7" t="n">
        <x:v>3621</x:v>
      </x:c>
      <x:c r="N14" s="7" t="n">
        <x:v>1851.2</x:v>
      </x:c>
    </x:row>
    <x:row r="15" ht="25" customHeight="1">
      <x:c r="A15" s="2" t="str">
        <x:v>J</x:v>
      </x:c>
      <x:c r="B15" s="7" t="n">
        <x:v>1203.9</x:v>
      </x:c>
      <x:c r="C15" s="7" t="n">
        <x:v>953.2</x:v>
      </x:c>
      <x:c r="D15" s="7" t="n">
        <x:v>1067.1</x:v>
      </x:c>
      <x:c r="E15" s="7" t="n">
        <x:v>2265.1</x:v>
      </x:c>
      <x:c r="F15" s="7" t="n">
        <x:v>3399.9</x:v>
      </x:c>
      <x:c r="G15" s="7" t="n">
        <x:v>3700.7</x:v>
      </x:c>
      <x:c r="H15" s="7" t="n">
        <x:v>2930.3</x:v>
      </x:c>
      <x:c r="I15" s="7" t="n">
        <x:v>3217.2</x:v>
      </x:c>
      <x:c r="J15" s="7" t="n">
        <x:v>2465</x:v>
      </x:c>
      <x:c r="K15" s="7" t="n">
        <x:v>0</x:v>
      </x:c>
      <x:c r="L15" s="7" t="n">
        <x:v>1164.6</x:v>
      </x:c>
      <x:c r="M15" s="7" t="n">
        <x:v>3489.3</x:v>
      </x:c>
      <x:c r="N15" s="7" t="n">
        <x:v>1656.1</x:v>
      </x:c>
    </x:row>
    <x:row r="16" ht="25" customHeight="1">
      <x:c r="A16" s="2" t="str">
        <x:v>K</x:v>
      </x:c>
      <x:c r="B16" s="7" t="n">
        <x:v>821.7</x:v>
      </x:c>
      <x:c r="C16" s="7" t="n">
        <x:v>571</x:v>
      </x:c>
      <x:c r="D16" s="7" t="n">
        <x:v>1069.4</x:v>
      </x:c>
      <x:c r="E16" s="7" t="n">
        <x:v>2267.5</x:v>
      </x:c>
      <x:c r="F16" s="7" t="n">
        <x:v>3017.6</x:v>
      </x:c>
      <x:c r="G16" s="7" t="n">
        <x:v>3318.5</x:v>
      </x:c>
      <x:c r="H16" s="7" t="n">
        <x:v>2548.1</x:v>
      </x:c>
      <x:c r="I16" s="7" t="n">
        <x:v>2835</x:v>
      </x:c>
      <x:c r="J16" s="7" t="n">
        <x:v>1648.3</x:v>
      </x:c>
      <x:c r="K16" s="7" t="n">
        <x:v>1017.4</x:v>
      </x:c>
      <x:c r="L16" s="7" t="n">
        <x:v>0</x:v>
      </x:c>
      <x:c r="M16" s="7" t="n">
        <x:v>3107</x:v>
      </x:c>
      <x:c r="N16" s="7" t="n">
        <x:v>1273.9</x:v>
      </x:c>
    </x:row>
    <x:row r="17" ht="25" customHeight="1">
      <x:c r="A17" s="2" t="str">
        <x:v>L</x:v>
      </x:c>
      <x:c r="B17" s="7" t="n">
        <x:v>2503.2</x:v>
      </x:c>
      <x:c r="C17" s="7" t="n">
        <x:v>2904.6</x:v>
      </x:c>
      <x:c r="D17" s="7" t="n">
        <x:v>3370.4</x:v>
      </x:c>
      <x:c r="E17" s="7" t="n">
        <x:v>2072.5</x:v>
      </x:c>
      <x:c r="F17" s="7" t="n">
        <x:v>2306</x:v>
      </x:c>
      <x:c r="G17" s="7" t="n">
        <x:v>2606.8</x:v>
      </x:c>
      <x:c r="H17" s="7" t="n">
        <x:v>3737.3</x:v>
      </x:c>
      <x:c r="I17" s="7" t="n">
        <x:v>4618.1</x:v>
      </x:c>
      <x:c r="J17" s="7" t="n">
        <x:v>3865.9</x:v>
      </x:c>
      <x:c r="K17" s="7" t="n">
        <x:v>4380.5</x:v>
      </x:c>
      <x:c r="L17" s="7" t="n">
        <x:v>3116</x:v>
      </x:c>
      <x:c r="M17" s="7" t="n">
        <x:v>0</x:v>
      </x:c>
      <x:c r="N17" s="7" t="n">
        <x:v>3014.7</x:v>
      </x:c>
    </x:row>
    <x:row r="18" ht="25" customHeight="1">
      <x:c r="A18" s="2" t="str">
        <x:v>M</x:v>
      </x:c>
      <x:c r="B18" s="7" t="n">
        <x:v>227</x:v>
      </x:c>
      <x:c r="C18" s="7" t="n">
        <x:v>541.3</x:v>
      </x:c>
      <x:c r="D18" s="7" t="n">
        <x:v>1007.1</x:v>
      </x:c>
      <x:c r="E18" s="7" t="n">
        <x:v>2205.1</x:v>
      </x:c>
      <x:c r="F18" s="7" t="n">
        <x:v>2446.1</x:v>
      </x:c>
      <x:c r="G18" s="7" t="n">
        <x:v>2747</x:v>
      </x:c>
      <x:c r="H18" s="7" t="n">
        <x:v>1976.6</x:v>
      </x:c>
      <x:c r="I18" s="7" t="n">
        <x:v>2263.5</x:v>
      </x:c>
      <x:c r="J18" s="7" t="n">
        <x:v>1511.3</x:v>
      </x:c>
      <x:c r="K18" s="7" t="n">
        <x:v>1496.5</x:v>
      </x:c>
      <x:c r="L18" s="7" t="n">
        <x:v>752.8</x:v>
      </x:c>
      <x:c r="M18" s="7" t="n">
        <x:v>2609.8</x:v>
      </x:c>
      <x:c r="N18" s="7" t="n">
        <x:v>0</x:v>
      </x:c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5" customHeight="1">
      <x:c r="A20" s="2" t="str">
        <x:v>OSRM all-pairs profile durations (seconds)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5" customHeight="1">
      <x:c r="A22" s="4" t="str">
        <x:v>From / to</x:v>
      </x:c>
      <x:c r="B22" s="4" t="str">
        <x:v>A</x:v>
      </x:c>
      <x:c r="C22" s="4" t="str">
        <x:v>B</x:v>
      </x:c>
      <x:c r="D22" s="4" t="str">
        <x:v>C</x:v>
      </x:c>
      <x:c r="E22" s="4" t="str">
        <x:v>D</x:v>
      </x:c>
      <x:c r="F22" s="4" t="str">
        <x:v>E</x:v>
      </x:c>
      <x:c r="G22" s="4" t="str">
        <x:v>F</x:v>
      </x:c>
      <x:c r="H22" s="4" t="str">
        <x:v>G</x:v>
      </x:c>
      <x:c r="I22" s="4" t="str">
        <x:v>H</x:v>
      </x:c>
      <x:c r="J22" s="4" t="str">
        <x:v>I</x:v>
      </x:c>
      <x:c r="K22" s="4" t="str">
        <x:v>J</x:v>
      </x:c>
      <x:c r="L22" s="4" t="str">
        <x:v>K</x:v>
      </x:c>
      <x:c r="M22" s="4" t="str">
        <x:v>L</x:v>
      </x:c>
      <x:c r="N22" s="4" t="str">
        <x:v>M</x:v>
      </x:c>
    </x:row>
    <x:row r="23" ht="25" customHeight="1">
      <x:c r="A23" s="2" t="str">
        <x:v>A</x:v>
      </x:c>
      <x:c r="B23" s="7" t="n">
        <x:v>0</x:v>
      </x:c>
      <x:c r="C23" s="7" t="n">
        <x:v>58.7</x:v>
      </x:c>
      <x:c r="D23" s="7" t="n">
        <x:v>96.4</x:v>
      </x:c>
      <x:c r="E23" s="7" t="n">
        <x:v>182.2</x:v>
      </x:c>
      <x:c r="F23" s="7" t="n">
        <x:v>198.1</x:v>
      </x:c>
      <x:c r="G23" s="7" t="n">
        <x:v>200.8</x:v>
      </x:c>
      <x:c r="H23" s="7" t="n">
        <x:v>171.2</x:v>
      </x:c>
      <x:c r="I23" s="7" t="n">
        <x:v>157.1</x:v>
      </x:c>
      <x:c r="J23" s="7" t="n">
        <x:v>137.2</x:v>
      </x:c>
      <x:c r="K23" s="7" t="n">
        <x:v>147.9</x:v>
      </x:c>
      <x:c r="L23" s="7" t="n">
        <x:v>83.3</x:v>
      </x:c>
      <x:c r="M23" s="7" t="n">
        <x:v>250.9</x:v>
      </x:c>
      <x:c r="N23" s="7" t="n">
        <x:v>64.5</x:v>
      </x:c>
    </x:row>
    <x:row r="24" ht="25" customHeight="1">
      <x:c r="A24" s="2" t="str">
        <x:v>B</x:v>
      </x:c>
      <x:c r="B24" s="7" t="n">
        <x:v>28.8</x:v>
      </x:c>
      <x:c r="C24" s="7" t="n">
        <x:v>0</x:v>
      </x:c>
      <x:c r="D24" s="7" t="n">
        <x:v>72.2</x:v>
      </x:c>
      <x:c r="E24" s="7" t="n">
        <x:v>158</x:v>
      </x:c>
      <x:c r="F24" s="7" t="n">
        <x:v>179.5</x:v>
      </x:c>
      <x:c r="G24" s="7" t="n">
        <x:v>182.2</x:v>
      </x:c>
      <x:c r="H24" s="7" t="n">
        <x:v>152.6</x:v>
      </x:c>
      <x:c r="I24" s="7" t="n">
        <x:v>138.5</x:v>
      </x:c>
      <x:c r="J24" s="7" t="n">
        <x:v>118.6</x:v>
      </x:c>
      <x:c r="K24" s="7" t="n">
        <x:v>123.7</x:v>
      </x:c>
      <x:c r="L24" s="7" t="n">
        <x:v>59.1</x:v>
      </x:c>
      <x:c r="M24" s="7" t="n">
        <x:v>243.5</x:v>
      </x:c>
      <x:c r="N24" s="7" t="n">
        <x:v>45.9</x:v>
      </x:c>
    </x:row>
    <x:row r="25" ht="25" customHeight="1">
      <x:c r="A25" s="2" t="str">
        <x:v>C</x:v>
      </x:c>
      <x:c r="B25" s="7" t="n">
        <x:v>143.4</x:v>
      </x:c>
      <x:c r="C25" s="7" t="n">
        <x:v>121.6</x:v>
      </x:c>
      <x:c r="D25" s="7" t="n">
        <x:v>0</x:v>
      </x:c>
      <x:c r="E25" s="7" t="n">
        <x:v>85.8</x:v>
      </x:c>
      <x:c r="F25" s="7" t="n">
        <x:v>274.8</x:v>
      </x:c>
      <x:c r="G25" s="7" t="n">
        <x:v>269.3</x:v>
      </x:c>
      <x:c r="H25" s="7" t="n">
        <x:v>274.2</x:v>
      </x:c>
      <x:c r="I25" s="7" t="n">
        <x:v>260.1</x:v>
      </x:c>
      <x:c r="J25" s="7" t="n">
        <x:v>214.3</x:v>
      </x:c>
      <x:c r="K25" s="7" t="n">
        <x:v>118</x:v>
      </x:c>
      <x:c r="L25" s="7" t="n">
        <x:v>153.4</x:v>
      </x:c>
      <x:c r="M25" s="7" t="n">
        <x:v>237.3</x:v>
      </x:c>
      <x:c r="N25" s="7" t="n">
        <x:v>167.5</x:v>
      </x:c>
    </x:row>
    <x:row r="26" ht="25" customHeight="1">
      <x:c r="A26" s="2" t="str">
        <x:v>D</x:v>
      </x:c>
      <x:c r="B26" s="7" t="n">
        <x:v>199.2</x:v>
      </x:c>
      <x:c r="C26" s="7" t="n">
        <x:v>182.7</x:v>
      </x:c>
      <x:c r="D26" s="7" t="n">
        <x:v>202.2</x:v>
      </x:c>
      <x:c r="E26" s="7" t="n">
        <x:v>0</x:v>
      </x:c>
      <x:c r="F26" s="7" t="n">
        <x:v>234.8</x:v>
      </x:c>
      <x:c r="G26" s="7" t="n">
        <x:v>236.3</x:v>
      </x:c>
      <x:c r="H26" s="7" t="n">
        <x:v>316.6</x:v>
      </x:c>
      <x:c r="I26" s="7" t="n">
        <x:v>313.1</x:v>
      </x:c>
      <x:c r="J26" s="7" t="n">
        <x:v>293.2</x:v>
      </x:c>
      <x:c r="K26" s="7" t="n">
        <x:v>198.3</x:v>
      </x:c>
      <x:c r="L26" s="7" t="n">
        <x:v>211.5</x:v>
      </x:c>
      <x:c r="M26" s="7" t="n">
        <x:v>174.2</x:v>
      </x:c>
      <x:c r="N26" s="7" t="n">
        <x:v>214.5</x:v>
      </x:c>
    </x:row>
    <x:row r="27" ht="25" customHeight="1">
      <x:c r="A27" s="2" t="str">
        <x:v>E</x:v>
      </x:c>
      <x:c r="B27" s="7" t="n">
        <x:v>176.6</x:v>
      </x:c>
      <x:c r="C27" s="7" t="n">
        <x:v>183.3</x:v>
      </x:c>
      <x:c r="D27" s="7" t="n">
        <x:v>221</x:v>
      </x:c>
      <x:c r="E27" s="7" t="n">
        <x:v>221.1</x:v>
      </x:c>
      <x:c r="F27" s="7" t="n">
        <x:v>0</x:v>
      </x:c>
      <x:c r="G27" s="7" t="n">
        <x:v>68.3</x:v>
      </x:c>
      <x:c r="H27" s="7" t="n">
        <x:v>150.4</x:v>
      </x:c>
      <x:c r="I27" s="7" t="n">
        <x:v>166.3</x:v>
      </x:c>
      <x:c r="J27" s="7" t="n">
        <x:v>176.7</x:v>
      </x:c>
      <x:c r="K27" s="7" t="n">
        <x:v>272.5</x:v>
      </x:c>
      <x:c r="L27" s="7" t="n">
        <x:v>207.9</x:v>
      </x:c>
      <x:c r="M27" s="7" t="n">
        <x:v>229.4</x:v>
      </x:c>
      <x:c r="N27" s="7" t="n">
        <x:v>146.7</x:v>
      </x:c>
    </x:row>
    <x:row r="28" ht="25" customHeight="1">
      <x:c r="A28" s="2" t="str">
        <x:v>F</x:v>
      </x:c>
      <x:c r="B28" s="7" t="n">
        <x:v>202.8</x:v>
      </x:c>
      <x:c r="C28" s="7" t="n">
        <x:v>209.5</x:v>
      </x:c>
      <x:c r="D28" s="7" t="n">
        <x:v>247.2</x:v>
      </x:c>
      <x:c r="E28" s="7" t="n">
        <x:v>248.7</x:v>
      </x:c>
      <x:c r="F28" s="7" t="n">
        <x:v>51.6</x:v>
      </x:c>
      <x:c r="G28" s="7" t="n">
        <x:v>0</x:v>
      </x:c>
      <x:c r="H28" s="7" t="n">
        <x:v>119.4</x:v>
      </x:c>
      <x:c r="I28" s="7" t="n">
        <x:v>146.9</x:v>
      </x:c>
      <x:c r="J28" s="7" t="n">
        <x:v>203.8</x:v>
      </x:c>
      <x:c r="K28" s="7" t="n">
        <x:v>298.7</x:v>
      </x:c>
      <x:c r="L28" s="7" t="n">
        <x:v>234.1</x:v>
      </x:c>
      <x:c r="M28" s="7" t="n">
        <x:v>222.8</x:v>
      </x:c>
      <x:c r="N28" s="7" t="n">
        <x:v>172.9</x:v>
      </x:c>
    </x:row>
    <x:row r="29" ht="25" customHeight="1">
      <x:c r="A29" s="2" t="str">
        <x:v>G</x:v>
      </x:c>
      <x:c r="B29" s="7" t="n">
        <x:v>179.8</x:v>
      </x:c>
      <x:c r="C29" s="7" t="n">
        <x:v>186.5</x:v>
      </x:c>
      <x:c r="D29" s="7" t="n">
        <x:v>224.2</x:v>
      </x:c>
      <x:c r="E29" s="7" t="n">
        <x:v>270.1</x:v>
      </x:c>
      <x:c r="F29" s="7" t="n">
        <x:v>109.8</x:v>
      </x:c>
      <x:c r="G29" s="7" t="n">
        <x:v>71.9</x:v>
      </x:c>
      <x:c r="H29" s="7" t="n">
        <x:v>0</x:v>
      </x:c>
      <x:c r="I29" s="7" t="n">
        <x:v>120.5</x:v>
      </x:c>
      <x:c r="J29" s="7" t="n">
        <x:v>173.8</x:v>
      </x:c>
      <x:c r="K29" s="7" t="n">
        <x:v>275.7</x:v>
      </x:c>
      <x:c r="L29" s="7" t="n">
        <x:v>211.1</x:v>
      </x:c>
      <x:c r="M29" s="7" t="n">
        <x:v>281</x:v>
      </x:c>
      <x:c r="N29" s="7" t="n">
        <x:v>149.9</x:v>
      </x:c>
    </x:row>
    <x:row r="30" ht="25" customHeight="1">
      <x:c r="A30" s="2" t="str">
        <x:v>H</x:v>
      </x:c>
      <x:c r="B30" s="7" t="n">
        <x:v>206.8</x:v>
      </x:c>
      <x:c r="C30" s="7" t="n">
        <x:v>213.5</x:v>
      </x:c>
      <x:c r="D30" s="7" t="n">
        <x:v>251.2</x:v>
      </x:c>
      <x:c r="E30" s="7" t="n">
        <x:v>337</x:v>
      </x:c>
      <x:c r="F30" s="7" t="n">
        <x:v>220.6</x:v>
      </x:c>
      <x:c r="G30" s="7" t="n">
        <x:v>182.7</x:v>
      </x:c>
      <x:c r="H30" s="7" t="n">
        <x:v>172.6</x:v>
      </x:c>
      <x:c r="I30" s="7" t="n">
        <x:v>0</x:v>
      </x:c>
      <x:c r="J30" s="7" t="n">
        <x:v>245</x:v>
      </x:c>
      <x:c r="K30" s="7" t="n">
        <x:v>302.7</x:v>
      </x:c>
      <x:c r="L30" s="7" t="n">
        <x:v>238.1</x:v>
      </x:c>
      <x:c r="M30" s="7" t="n">
        <x:v>386.4</x:v>
      </x:c>
      <x:c r="N30" s="7" t="n">
        <x:v>176.9</x:v>
      </x:c>
    </x:row>
    <x:row r="31" ht="25" customHeight="1">
      <x:c r="A31" s="2" t="str">
        <x:v>I</x:v>
      </x:c>
      <x:c r="B31" s="7" t="n">
        <x:v>173.8</x:v>
      </x:c>
      <x:c r="C31" s="7" t="n">
        <x:v>155.1</x:v>
      </x:c>
      <x:c r="D31" s="7" t="n">
        <x:v>196</x:v>
      </x:c>
      <x:c r="E31" s="7" t="n">
        <x:v>272.3</x:v>
      </x:c>
      <x:c r="F31" s="7" t="n">
        <x:v>201.3</x:v>
      </x:c>
      <x:c r="G31" s="7" t="n">
        <x:v>197.8</x:v>
      </x:c>
      <x:c r="H31" s="7" t="n">
        <x:v>174.4</x:v>
      </x:c>
      <x:c r="I31" s="7" t="n">
        <x:v>160.3</x:v>
      </x:c>
      <x:c r="J31" s="7" t="n">
        <x:v>0</x:v>
      </x:c>
      <x:c r="K31" s="7" t="n">
        <x:v>164.6</x:v>
      </x:c>
      <x:c r="L31" s="7" t="n">
        <x:v>141.1</x:v>
      </x:c>
      <x:c r="M31" s="7" t="n">
        <x:v>332.5</x:v>
      </x:c>
      <x:c r="N31" s="7" t="n">
        <x:v>143.9</x:v>
      </x:c>
    </x:row>
    <x:row r="32" ht="25" customHeight="1">
      <x:c r="A32" s="2" t="str">
        <x:v>J</x:v>
      </x:c>
      <x:c r="B32" s="7" t="n">
        <x:v>99.9</x:v>
      </x:c>
      <x:c r="C32" s="7" t="n">
        <x:v>71.1</x:v>
      </x:c>
      <x:c r="D32" s="7" t="n">
        <x:v>95</x:v>
      </x:c>
      <x:c r="E32" s="7" t="n">
        <x:v>180.8</x:v>
      </x:c>
      <x:c r="F32" s="7" t="n">
        <x:v>250.6</x:v>
      </x:c>
      <x:c r="G32" s="7" t="n">
        <x:v>253.3</x:v>
      </x:c>
      <x:c r="H32" s="7" t="n">
        <x:v>223.7</x:v>
      </x:c>
      <x:c r="I32" s="7" t="n">
        <x:v>209.6</x:v>
      </x:c>
      <x:c r="J32" s="7" t="n">
        <x:v>189.7</x:v>
      </x:c>
      <x:c r="K32" s="7" t="n">
        <x:v>0</x:v>
      </x:c>
      <x:c r="L32" s="7" t="n">
        <x:v>103.8</x:v>
      </x:c>
      <x:c r="M32" s="7" t="n">
        <x:v>310.6</x:v>
      </x:c>
      <x:c r="N32" s="7" t="n">
        <x:v>117</x:v>
      </x:c>
    </x:row>
    <x:row r="33" ht="25" customHeight="1">
      <x:c r="A33" s="2" t="str">
        <x:v>K</x:v>
      </x:c>
      <x:c r="B33" s="7" t="n">
        <x:v>83.9</x:v>
      </x:c>
      <x:c r="C33" s="7" t="n">
        <x:v>55.1</x:v>
      </x:c>
      <x:c r="D33" s="7" t="n">
        <x:v>96</x:v>
      </x:c>
      <x:c r="E33" s="7" t="n">
        <x:v>181.8</x:v>
      </x:c>
      <x:c r="F33" s="7" t="n">
        <x:v>234.6</x:v>
      </x:c>
      <x:c r="G33" s="7" t="n">
        <x:v>237.3</x:v>
      </x:c>
      <x:c r="H33" s="7" t="n">
        <x:v>207.7</x:v>
      </x:c>
      <x:c r="I33" s="7" t="n">
        <x:v>193.6</x:v>
      </x:c>
      <x:c r="J33" s="7" t="n">
        <x:v>157.1</x:v>
      </x:c>
      <x:c r="K33" s="7" t="n">
        <x:v>108.6</x:v>
      </x:c>
      <x:c r="L33" s="7" t="n">
        <x:v>0</x:v>
      </x:c>
      <x:c r="M33" s="7" t="n">
        <x:v>287.4</x:v>
      </x:c>
      <x:c r="N33" s="7" t="n">
        <x:v>101</x:v>
      </x:c>
    </x:row>
    <x:row r="34" ht="25" customHeight="1">
      <x:c r="A34" s="2" t="str">
        <x:v>L</x:v>
      </x:c>
      <x:c r="B34" s="7" t="n">
        <x:v>250.9</x:v>
      </x:c>
      <x:c r="C34" s="7" t="n">
        <x:v>262.8</x:v>
      </x:c>
      <x:c r="D34" s="7" t="n">
        <x:v>307.5</x:v>
      </x:c>
      <x:c r="E34" s="7" t="n">
        <x:v>195</x:v>
      </x:c>
      <x:c r="F34" s="7" t="n">
        <x:v>236</x:v>
      </x:c>
      <x:c r="G34" s="7" t="n">
        <x:v>226.4</x:v>
      </x:c>
      <x:c r="H34" s="7" t="n">
        <x:v>340.5</x:v>
      </x:c>
      <x:c r="I34" s="7" t="n">
        <x:v>348.5</x:v>
      </x:c>
      <x:c r="J34" s="7" t="n">
        <x:v>328.6</x:v>
      </x:c>
      <x:c r="K34" s="7" t="n">
        <x:v>343.9</x:v>
      </x:c>
      <x:c r="L34" s="7" t="n">
        <x:v>287.4</x:v>
      </x:c>
      <x:c r="M34" s="7" t="n">
        <x:v>0</x:v>
      </x:c>
      <x:c r="N34" s="7" t="n">
        <x:v>249.9</x:v>
      </x:c>
    </x:row>
    <x:row r="35" ht="25" customHeight="1">
      <x:c r="A35" s="2" t="str">
        <x:v>M</x:v>
      </x:c>
      <x:c r="B35" s="7" t="n">
        <x:v>29.9</x:v>
      </x:c>
      <x:c r="C35" s="7" t="n">
        <x:v>36.6</x:v>
      </x:c>
      <x:c r="D35" s="7" t="n">
        <x:v>74.3</x:v>
      </x:c>
      <x:c r="E35" s="7" t="n">
        <x:v>160.1</x:v>
      </x:c>
      <x:c r="F35" s="7" t="n">
        <x:v>183.8</x:v>
      </x:c>
      <x:c r="G35" s="7" t="n">
        <x:v>186.5</x:v>
      </x:c>
      <x:c r="H35" s="7" t="n">
        <x:v>156.9</x:v>
      </x:c>
      <x:c r="I35" s="7" t="n">
        <x:v>142.8</x:v>
      </x:c>
      <x:c r="J35" s="7" t="n">
        <x:v>122.9</x:v>
      </x:c>
      <x:c r="K35" s="7" t="n">
        <x:v>125.8</x:v>
      </x:c>
      <x:c r="L35" s="7" t="n">
        <x:v>61.2</x:v>
      </x:c>
      <x:c r="M35" s="7" t="n">
        <x:v>244.6</x:v>
      </x:c>
      <x:c r="N35" s="7" t="n">
        <x:v>0</x:v>
      </x:c>
    </x:row>
  </x:sheetData>
  <x:pageMargins left="0.7" right="0.7" top="0.75" bottom="0.75" header="0.3" footer="0.3"/>
</x:worksheet>
</file>